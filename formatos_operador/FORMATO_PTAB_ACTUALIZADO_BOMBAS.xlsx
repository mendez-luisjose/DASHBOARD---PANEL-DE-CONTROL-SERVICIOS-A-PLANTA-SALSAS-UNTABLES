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848de1a70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e588233bf85e40b7"/>
    <x:sheet xmlns:r="http://schemas.openxmlformats.org/officeDocument/2006/relationships" name="Control" sheetId="2" r:id="R42e234972009415f"/>
    <x:sheet xmlns:r="http://schemas.openxmlformats.org/officeDocument/2006/relationships" name="Instrucciones" sheetId="3" r:id="R0f04955185e542d7"/>
  </x:sheets>
</x:workbook>
</file>

<file path=xl/sharedStrings.xml><?xml version="1.0" encoding="utf-8"?>
<x:sst xmlns:x="http://schemas.openxmlformats.org/spreadsheetml/2006/main">
  <x:si>
    <x:t xml:space="preserve">FORMATO DE CARGA DIARIA · PTAB</x:t>
  </x:si>
  <x:si>
    <x:t xml:space="preserve">Complete únicamente las celdas amarillas. No modifique procesos, equipos, variables, rangos, unidades ni ID interno.</x:t>
  </x:si>
  <x:si>
    <x:t xml:space="preserve">Fecha del reporte</x:t>
  </x:si>
  <x:si>
    <x:t xml:space="preserve">Operador 1er turno</x:t>
  </x:si>
  <x:si>
    <x:t xml:space="preserve">Operador 2do turno</x:t>
  </x:si>
  <x:si>
    <x:t xml:space="preserve">Lecturas listas</x:t>
  </x:si>
  <x:si>
    <x:t xml:space="preserve">Deje vacías las variables no medidas. Al terminar, GUARDE el archivo .xlsx y después cárguelo desde “Añadir desde Excel” en el dashboard.</x:t>
  </x:si>
  <x:si>
    <x:t xml:space="preserve">Proceso</x:t>
  </x:si>
  <x:si>
    <x:t xml:space="preserve">Equipo</x:t>
  </x:si>
  <x:si>
    <x:t xml:space="preserve">Variable de control</x:t>
  </x:si>
  <x:si>
    <x:t xml:space="preserve">Rango de operación</x:t>
  </x:si>
  <x:si>
    <x:t xml:space="preserve">Unidad</x:t>
  </x:si>
  <x:si>
    <x:t xml:space="preserve">Valor 1er turno</x:t>
  </x:si>
  <x:si>
    <x:t xml:space="preserve">Observación 1er turno</x:t>
  </x:si>
  <x:si>
    <x:t xml:space="preserve">Valor 2do turno</x:t>
  </x:si>
  <x:si>
    <x:t xml:space="preserve">Observación 2do turno</x:t>
  </x:si>
  <x:si>
    <x:t xml:space="preserve">ID interno</x:t>
  </x:si>
  <x:si>
    <x:t xml:space="preserve">Fecha</x:t>
  </x:si>
  <x:si>
    <x:t xml:space="preserve">Turno</x:t>
  </x:si>
  <x:si>
    <x:t xml:space="preserve">Hora</x:t>
  </x:si>
  <x:si>
    <x:t xml:space="preserve">Operador</x:t>
  </x:si>
  <x:si>
    <x:t xml:space="preserve">Variable de Control</x:t>
  </x:si>
  <x:si>
    <x:t xml:space="preserve">Rango de Operación</x:t>
  </x:si>
  <x:si>
    <x:t xml:space="preserve">Valor</x:t>
  </x:si>
  <x:si>
    <x:t xml:space="preserve">Valor original turno</x:t>
  </x:si>
  <x:si>
    <x:t xml:space="preserve">Estado</x:t>
  </x:si>
  <x:si>
    <x:t xml:space="preserve">Observación</x:t>
  </x:si>
  <x:si>
    <x:t xml:space="preserve">Fuente</x:t>
  </x:si>
  <x:si>
    <x:t xml:space="preserve">VariableId</x:t>
  </x:si>
  <x:si>
    <x:t xml:space="preserve">INSTRUCCIONES · CARGA DIARIA PTAB</x:t>
  </x:si>
  <x:si>
    <x:t xml:space="preserve">Paso</x:t>
  </x:si>
  <x:si>
    <x:t xml:space="preserve">Qué hacer</x:t>
  </x:si>
  <x:si>
    <x:t xml:space="preserve">1</x:t>
  </x:si>
  <x:si>
    <x:t xml:space="preserve">Abra la hoja “Carga diaria”.</x:t>
  </x:si>
  <x:si>
    <x:t xml:space="preserve">2</x:t>
  </x:si>
  <x:si>
    <x:t xml:space="preserve">Indique la fecha del reporte y el nombre del operador de cada turno.</x:t>
  </x:si>
  <x:si>
    <x:t xml:space="preserve">3</x:t>
  </x:si>
  <x:si>
    <x:t xml:space="preserve">Escriba únicamente los valores medidos en las columnas amarillas. Deje vacías las variables que no se midieron.</x:t>
  </x:si>
  <x:si>
    <x:t xml:space="preserve">4</x:t>
  </x:si>
  <x:si>
    <x:t xml:space="preserve">Use las columnas de observación solo cuando sea necesario. No modifique las columnas grises ni el ID interno.</x:t>
  </x:si>
  <x:si>
    <x:t xml:space="preserve">5</x:t>
  </x:si>
  <x:si>
    <x:t xml:space="preserve">Guarde el archivo como .xlsx después de completar los datos. La hoja “Control” se actualiza automáticamente.</x:t>
  </x:si>
  <x:si>
    <x:t xml:space="preserve">6</x:t>
  </x:si>
  <x:si>
    <x:t xml:space="preserve">En el dashboard, abra PTAB, pulse “Añadir desde Excel” y seleccione este archivo.</x:t>
  </x:si>
  <x:si>
    <x:t xml:space="preserve">7</x:t>
  </x:si>
  <x:si>
    <x:t xml:space="preserve">Los registros con valor se añadirán al histórico. Después de la carga, el dashboard descargará automáticamente una Base_Maestra_Dashboard_Actualizada.xlsx con las cuatro áreas.</x:t>
  </x:si>
  <x:si>
    <x:t xml:space="preserve">IMPORTANTE</x:t>
  </x:si>
  <x:si>
    <x:t xml:space="preserve">No cambie los nombres “Carga diaria” y “Control”. Conserve el Excel diario como respaldo y, cuando corresponda, reemplace en GitHub la Base_Maestra_Dashboard.xlsx por la base maestra actualizada descargada por el dashboard.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</x:si>
</x:sst>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0.########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1B8A5A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  <x:font>
      <x:sz val="10"/>
      <x:color rgb="FF2B3338"/>
      <x:name val="Carlito"/>
    </x:font>
    <x:font>
      <x:sz val="9"/>
      <x:color rgb="FF77848B"/>
      <x:name val="Carlito"/>
    </x:font>
    <x:font>
      <x:sz val="9"/>
      <x:color rgb="FF263238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B8A5A"/>
      </x:patternFill>
    </x:fill>
    <x:fill>
      <x:patternFill patternType="solid">
        <x:fgColor rgb="FFEAF6F0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  <x:fill>
      <x:patternFill patternType="solid">
        <x:fgColor rgb="FFEFF4F7"/>
      </x:patternFill>
    </x:fill>
    <x:fill>
      <x:patternFill patternType="solid">
        <x:fgColor rgb="FFFFF2B2"/>
      </x:patternFill>
    </x:fill>
  </x:fills>
  <x:borders count="25">
    <x:border/>
    <x:border/>
    <x:border>
      <x:left style="thin">
        <x:color rgb="FF6CC4E8"/>
      </x:left>
      <x:top style="thin">
        <x:color rgb="FF6CC4E8"/>
      </x:top>
    </x:border>
    <x:border>
      <x:top style="thin">
        <x:color rgb="FF6CC4E8"/>
      </x:top>
    </x:border>
    <x:border>
      <x:right style="thin">
        <x:color rgb="FF6CC4E8"/>
      </x:right>
      <x:top style="thin">
        <x:color rgb="FF6CC4E8"/>
      </x:top>
    </x:border>
    <x:border>
      <x:left style="thin">
        <x:color rgb="FF6CC4E8"/>
      </x:left>
    </x:border>
    <x:border>
      <x:right style="thin">
        <x:color rgb="FF6CC4E8"/>
      </x:right>
    </x:border>
    <x:border>
      <x:left style="thin">
        <x:color rgb="FF6CC4E8"/>
      </x:left>
      <x:bottom style="thin">
        <x:color rgb="FF6CC4E8"/>
      </x:bottom>
    </x:border>
    <x:border>
      <x:bottom style="thin">
        <x:color rgb="FF6CC4E8"/>
      </x:bottom>
    </x:border>
    <x:border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top style="thin">
        <x:color rgb="FF6CC4E8"/>
      </x:top>
    </x:border>
    <x:border>
      <x:top style="thin">
        <x:color rgb="FF6CC4E8"/>
      </x:top>
    </x:border>
    <x:border>
      <x:right style="thin">
        <x:color rgb="FF6CC4E8"/>
      </x:right>
      <x:top style="thin">
        <x:color rgb="FF6CC4E8"/>
      </x:top>
    </x:border>
    <x:border>
      <x:left style="thin">
        <x:color rgb="FF6CC4E8"/>
      </x:left>
    </x:border>
    <x:border>
      <x:right style="thin">
        <x:color rgb="FF6CC4E8"/>
      </x:right>
    </x:border>
    <x:border>
      <x:left style="thin">
        <x:color rgb="FF6CC4E8"/>
      </x:left>
      <x:bottom style="thin">
        <x:color rgb="FF6CC4E8"/>
      </x:bottom>
    </x:border>
    <x:border>
      <x:bottom style="thin">
        <x:color rgb="FF6CC4E8"/>
      </x:bottom>
    </x:border>
    <x:border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right style="thin">
        <x:color rgb="FF6CC4E8"/>
      </x:right>
      <x:top style="thin">
        <x:color rgb="FF6CC4E8"/>
      </x:top>
    </x:border>
    <x:border>
      <x:left style="thin">
        <x:color rgb="FF6CC4E8"/>
      </x:left>
      <x:right style="thin">
        <x:color rgb="FF6CC4E8"/>
      </x:right>
    </x:border>
    <x:border>
      <x:left style="thin">
        <x:color rgb="FF6CC4E8"/>
      </x:left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right style="thin">
        <x:color rgb="FF6CC4E8"/>
      </x:right>
      <x:top style="thin">
        <x:color rgb="FF6CC4E8"/>
      </x:top>
    </x:border>
    <x:border>
      <x:left style="thin">
        <x:color rgb="FF6CC4E8"/>
      </x:left>
      <x:right style="thin">
        <x:color rgb="FF6CC4E8"/>
      </x:right>
    </x:border>
    <x:border>
      <x:left style="thin">
        <x:color rgb="FF6CC4E8"/>
      </x:left>
      <x:right style="thin">
        <x:color rgb="FF6CC4E8"/>
      </x:right>
      <x:bottom style="thin">
        <x:color rgb="FF6CC4E8"/>
      </x:bottom>
    </x:border>
    <x:border>
      <x:bottom style="thin">
        <x:color rgb="FFD9E2E4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3" fillId="0" borderId="0" xfId="0" applyFont="1" applyAlignment="1">
      <x:alignment vertical="center"/>
    </x:xf>
    <x:xf numFmtId="0" fontId="3" fillId="4" borderId="0" xfId="0" applyFont="1" applyFill="1" applyAlignment="1">
      <x:alignment vertical="center"/>
    </x:xf>
    <x:xf numFmtId="164" fontId="3" fillId="4" borderId="0" xfId="0" applyNumberFormat="1" applyFont="1" applyFill="1" applyAlignment="1">
      <x:alignment vertical="center"/>
    </x:xf>
    <x:xf numFmtId="0" fontId="4" fillId="3" borderId="0" xfId="0" applyFont="1" applyFill="1" applyAlignment="1">
      <x:alignment horizontal="center" vertical="center"/>
    </x:xf>
    <x:xf numFmtId="0" fontId="6" fillId="2" borderId="0" xfId="0" applyFont="1" applyFill="1"/>
    <x:xf numFmtId="0" fontId="6" fillId="2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vertical="center" wrapText="1"/>
    </x:xf>
    <x:xf numFmtId="0" fontId="8" fillId="7" borderId="0" xfId="0" applyFont="1" applyFill="1" applyAlignment="1">
      <x:alignment vertical="center" wrapText="1"/>
    </x:xf>
    <x:xf numFmtId="0" fontId="7" fillId="8" borderId="0" xfId="0" applyFont="1" applyFill="1" applyAlignment="1">
      <x:alignment vertical="center" wrapText="1"/>
    </x:xf>
    <x:xf numFmtId="165" fontId="7" fillId="4" borderId="0" xfId="0" applyNumberFormat="1" applyFont="1" applyFill="1" applyAlignment="1">
      <x:alignment vertical="center" wrapText="1"/>
    </x:xf>
    <x:xf numFmtId="0" fontId="7" fillId="3" borderId="0" xfId="0" applyFont="1" applyFill="1" applyAlignment="1">
      <x:alignment vertical="center" wrapText="1"/>
    </x:xf>
    <x:xf numFmtId="0" fontId="6" fillId="9" borderId="0" xfId="0" applyFont="1" applyFill="1" applyAlignment="1">
      <x:alignment wrapText="1"/>
    </x:xf>
    <x:xf numFmtId="0" fontId="9" fillId="0" borderId="0" xfId="0" applyFont="1" applyAlignment="1">
      <x:alignment wrapText="1"/>
    </x:xf>
    <x:xf numFmtId="164" fontId="9" fillId="0" borderId="0" xfId="0" applyNumberFormat="1" applyFont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1" fillId="10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wrapText="1"/>
    </x:xf>
    <x:xf numFmtId="0" fontId="5" fillId="5" borderId="0" xfId="0" applyFont="1" applyFill="1" applyAlignment="1">
      <x:alignment wrapText="1"/>
    </x:xf>
    <x:xf numFmtId="0" fontId="10" fillId="2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164" fontId="3" fillId="4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165" fontId="7" fillId="4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164" fontId="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2" xfId="0" applyNumberFormat="1" applyFont="1" applyFill="1" applyBorder="1"/>
    <x:xf numFmtId="0" fontId="12" fillId="11" borderId="3" xfId="0" applyNumberFormat="1" applyFont="1" applyFill="1" applyBorder="1"/>
    <x:xf numFmtId="0" fontId="12" fillId="11" borderId="4" xfId="0" applyNumberFormat="1" applyFont="1" applyFill="1" applyBorder="1"/>
    <x:xf numFmtId="0" fontId="12" fillId="11" borderId="5" xfId="0" applyNumberFormat="1" applyFont="1" applyFill="1" applyBorder="1"/>
    <x:xf numFmtId="0" fontId="12" fillId="11" borderId="6" xfId="0" applyNumberFormat="1" applyFont="1" applyFill="1" applyBorder="1"/>
    <x:xf numFmtId="0" fontId="12" fillId="11" borderId="7" xfId="0" applyNumberFormat="1" applyFont="1" applyFill="1" applyBorder="1"/>
    <x:xf numFmtId="0" fontId="12" fillId="11" borderId="8" xfId="0" applyNumberFormat="1" applyFont="1" applyFill="1" applyBorder="1"/>
    <x:xf numFmtId="0" fontId="12" fillId="11" borderId="9" xfId="0" applyNumberFormat="1" applyFont="1" applyFill="1" applyBorder="1"/>
    <x:xf numFmtId="0" fontId="12" fillId="11" borderId="2" xfId="0" applyNumberFormat="1" applyFont="1" applyFill="1" applyBorder="1" applyAlignment="1">
      <x:alignment wrapText="1"/>
    </x:xf>
    <x:xf numFmtId="0" fontId="12" fillId="11" borderId="3" xfId="0" applyNumberFormat="1" applyFont="1" applyFill="1" applyBorder="1" applyAlignment="1">
      <x:alignment wrapText="1"/>
    </x:xf>
    <x:xf numFmtId="0" fontId="12" fillId="11" borderId="4" xfId="0" applyNumberFormat="1" applyFont="1" applyFill="1" applyBorder="1" applyAlignment="1">
      <x:alignment wrapText="1"/>
    </x:xf>
    <x:xf numFmtId="0" fontId="12" fillId="11" borderId="5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6" xfId="0" applyNumberFormat="1" applyFont="1" applyFill="1" applyBorder="1" applyAlignment="1">
      <x:alignment wrapText="1"/>
    </x:xf>
    <x:xf numFmtId="0" fontId="12" fillId="11" borderId="7" xfId="0" applyNumberFormat="1" applyFont="1" applyFill="1" applyBorder="1" applyAlignment="1">
      <x:alignment wrapText="1"/>
    </x:xf>
    <x:xf numFmtId="0" fontId="12" fillId="11" borderId="8" xfId="0" applyNumberFormat="1" applyFont="1" applyFill="1" applyBorder="1" applyAlignment="1">
      <x:alignment wrapText="1"/>
    </x:xf>
    <x:xf numFmtId="0" fontId="12" fillId="11" borderId="9" xfId="0" applyNumberFormat="1" applyFont="1" applyFill="1" applyBorder="1" applyAlignment="1">
      <x:alignment wrapText="1"/>
    </x:xf>
    <x:xf numFmtId="0" fontId="12" fillId="11" borderId="2" xfId="0" applyNumberFormat="1" applyFont="1" applyFill="1" applyBorder="1" applyAlignment="1">
      <x:alignment vertical="center" wrapText="1"/>
    </x:xf>
    <x:xf numFmtId="0" fontId="12" fillId="11" borderId="3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vertical="center" wrapText="1"/>
    </x:xf>
    <x:xf numFmtId="0" fontId="12" fillId="11" borderId="5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6" xfId="0" applyNumberFormat="1" applyFont="1" applyFill="1" applyBorder="1" applyAlignment="1">
      <x:alignment vertical="center" wrapText="1"/>
    </x:xf>
    <x:xf numFmtId="0" fontId="12" fillId="11" borderId="7" xfId="0" applyNumberFormat="1" applyFont="1" applyFill="1" applyBorder="1" applyAlignment="1">
      <x:alignment vertical="center" wrapText="1"/>
    </x:xf>
    <x:xf numFmtId="0" fontId="12" fillId="11" borderId="8" xfId="0" applyNumberFormat="1" applyFont="1" applyFill="1" applyBorder="1" applyAlignment="1">
      <x:alignment vertical="center" wrapText="1"/>
    </x:xf>
    <x:xf numFmtId="0" fontId="12" fillId="11" borderId="9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12" fillId="11" borderId="1" xfId="0" applyNumberFormat="1" applyFont="1" applyFill="1" applyBorder="1"/>
    <x:xf numFmtId="0" fontId="12" fillId="11" borderId="10" xfId="0" applyNumberFormat="1" applyFont="1" applyFill="1" applyBorder="1"/>
    <x:xf numFmtId="0" fontId="12" fillId="11" borderId="11" xfId="0" applyNumberFormat="1" applyFont="1" applyFill="1" applyBorder="1"/>
    <x:xf numFmtId="0" fontId="12" fillId="11" borderId="12" xfId="0" applyNumberFormat="1" applyFont="1" applyFill="1" applyBorder="1"/>
    <x:xf numFmtId="0" fontId="12" fillId="11" borderId="13" xfId="0" applyNumberFormat="1" applyFont="1" applyFill="1" applyBorder="1"/>
    <x:xf numFmtId="0" fontId="12" fillId="11" borderId="14" xfId="0" applyNumberFormat="1" applyFont="1" applyFill="1" applyBorder="1"/>
    <x:xf numFmtId="0" fontId="12" fillId="11" borderId="15" xfId="0" applyNumberFormat="1" applyFont="1" applyFill="1" applyBorder="1"/>
    <x:xf numFmtId="0" fontId="12" fillId="11" borderId="16" xfId="0" applyNumberFormat="1" applyFont="1" applyFill="1" applyBorder="1"/>
    <x:xf numFmtId="0" fontId="12" fillId="11" borderId="17" xfId="0" applyNumberFormat="1" applyFont="1" applyFill="1" applyBorder="1"/>
    <x:xf numFmtId="0" fontId="12" fillId="11" borderId="10" xfId="0" applyNumberFormat="1" applyFont="1" applyFill="1" applyBorder="1" applyAlignment="1">
      <x:alignment wrapText="1"/>
    </x:xf>
    <x:xf numFmtId="0" fontId="12" fillId="11" borderId="11" xfId="0" applyNumberFormat="1" applyFont="1" applyFill="1" applyBorder="1" applyAlignment="1">
      <x:alignment wrapText="1"/>
    </x:xf>
    <x:xf numFmtId="0" fontId="12" fillId="11" borderId="12" xfId="0" applyNumberFormat="1" applyFont="1" applyFill="1" applyBorder="1" applyAlignment="1">
      <x:alignment wrapText="1"/>
    </x:xf>
    <x:xf numFmtId="0" fontId="12" fillId="11" borderId="13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wrapText="1"/>
    </x:xf>
    <x:xf numFmtId="0" fontId="12" fillId="11" borderId="14" xfId="0" applyNumberFormat="1" applyFont="1" applyFill="1" applyBorder="1" applyAlignment="1">
      <x:alignment wrapText="1"/>
    </x:xf>
    <x:xf numFmtId="0" fontId="12" fillId="11" borderId="15" xfId="0" applyNumberFormat="1" applyFont="1" applyFill="1" applyBorder="1" applyAlignment="1">
      <x:alignment wrapText="1"/>
    </x:xf>
    <x:xf numFmtId="0" fontId="12" fillId="11" borderId="16" xfId="0" applyNumberFormat="1" applyFont="1" applyFill="1" applyBorder="1" applyAlignment="1">
      <x:alignment wrapText="1"/>
    </x:xf>
    <x:xf numFmtId="0" fontId="12" fillId="11" borderId="17" xfId="0" applyNumberFormat="1" applyFont="1" applyFill="1" applyBorder="1" applyAlignment="1">
      <x:alignment wrapText="1"/>
    </x:xf>
    <x:xf numFmtId="0" fontId="12" fillId="11" borderId="10" xfId="0" applyNumberFormat="1" applyFont="1" applyFill="1" applyBorder="1" applyAlignment="1">
      <x:alignment vertical="center" wrapText="1"/>
    </x:xf>
    <x:xf numFmtId="0" fontId="12" fillId="11" borderId="11" xfId="0" applyNumberFormat="1" applyFont="1" applyFill="1" applyBorder="1" applyAlignment="1">
      <x:alignment vertical="center" wrapText="1"/>
    </x:xf>
    <x:xf numFmtId="0" fontId="12" fillId="11" borderId="12" xfId="0" applyNumberFormat="1" applyFont="1" applyFill="1" applyBorder="1" applyAlignment="1">
      <x:alignment vertical="center" wrapText="1"/>
    </x:xf>
    <x:xf numFmtId="0" fontId="12" fillId="11" borderId="13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14" xfId="0" applyNumberFormat="1" applyFont="1" applyFill="1" applyBorder="1" applyAlignment="1">
      <x:alignment vertical="center" wrapText="1"/>
    </x:xf>
    <x:xf numFmtId="0" fontId="12" fillId="11" borderId="15" xfId="0" applyNumberFormat="1" applyFont="1" applyFill="1" applyBorder="1" applyAlignment="1">
      <x:alignment vertical="center" wrapText="1"/>
    </x:xf>
    <x:xf numFmtId="0" fontId="12" fillId="11" borderId="16" xfId="0" applyNumberFormat="1" applyFont="1" applyFill="1" applyBorder="1" applyAlignment="1">
      <x:alignment vertical="center" wrapText="1"/>
    </x:xf>
    <x:xf numFmtId="0" fontId="12" fillId="11" borderId="17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4" xfId="0" applyNumberFormat="1" applyFont="1" applyFill="1" applyBorder="1"/>
    <x:xf numFmtId="0" fontId="12" fillId="12" borderId="5" xfId="0" applyNumberFormat="1" applyFont="1" applyFill="1" applyBorder="1"/>
    <x:xf numFmtId="0" fontId="12" fillId="12" borderId="6" xfId="0" applyNumberFormat="1" applyFont="1" applyFill="1" applyBorder="1"/>
    <x:xf numFmtId="0" fontId="12" fillId="12" borderId="7" xfId="0" applyNumberFormat="1" applyFont="1" applyFill="1" applyBorder="1"/>
    <x:xf numFmtId="0" fontId="12" fillId="12" borderId="8" xfId="0" applyNumberFormat="1" applyFont="1" applyFill="1" applyBorder="1"/>
    <x:xf numFmtId="0" fontId="12" fillId="12" borderId="9" xfId="0" applyNumberFormat="1" applyFont="1" applyFill="1" applyBorder="1"/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4" xfId="0" applyNumberFormat="1" applyFont="1" applyFill="1" applyBorder="1" applyAlignment="1">
      <x:alignment wrapText="1"/>
    </x:xf>
    <x:xf numFmtId="0" fontId="12" fillId="12" borderId="5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2" borderId="6" xfId="0" applyNumberFormat="1" applyFont="1" applyFill="1" applyBorder="1" applyAlignment="1">
      <x:alignment wrapText="1"/>
    </x:xf>
    <x:xf numFmtId="0" fontId="12" fillId="12" borderId="7" xfId="0" applyNumberFormat="1" applyFont="1" applyFill="1" applyBorder="1" applyAlignment="1">
      <x:alignment wrapText="1"/>
    </x:xf>
    <x:xf numFmtId="0" fontId="12" fillId="12" borderId="8" xfId="0" applyNumberFormat="1" applyFont="1" applyFill="1" applyBorder="1" applyAlignment="1">
      <x:alignment wrapText="1"/>
    </x:xf>
    <x:xf numFmtId="0" fontId="12" fillId="12" borderId="9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vertical="center" wrapText="1"/>
    </x:xf>
    <x:xf numFmtId="0" fontId="12" fillId="12" borderId="3" xfId="0" applyNumberFormat="1" applyFont="1" applyFill="1" applyBorder="1" applyAlignment="1">
      <x:alignment vertical="center" wrapText="1"/>
    </x:xf>
    <x:xf numFmtId="0" fontId="12" fillId="12" borderId="4" xfId="0" applyNumberFormat="1" applyFont="1" applyFill="1" applyBorder="1" applyAlignment="1">
      <x:alignment vertical="center" wrapText="1"/>
    </x:xf>
    <x:xf numFmtId="0" fontId="12" fillId="12" borderId="5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6" xfId="0" applyNumberFormat="1" applyFont="1" applyFill="1" applyBorder="1" applyAlignment="1">
      <x:alignment vertical="center" wrapText="1"/>
    </x:xf>
    <x:xf numFmtId="0" fontId="12" fillId="12" borderId="7" xfId="0" applyNumberFormat="1" applyFont="1" applyFill="1" applyBorder="1" applyAlignment="1">
      <x:alignment vertical="center" wrapText="1"/>
    </x:xf>
    <x:xf numFmtId="0" fontId="12" fillId="12" borderId="8" xfId="0" applyNumberFormat="1" applyFont="1" applyFill="1" applyBorder="1" applyAlignment="1">
      <x:alignment vertical="center" wrapText="1"/>
    </x:xf>
    <x:xf numFmtId="0" fontId="12" fillId="12" borderId="9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12" fillId="12" borderId="1" xfId="0" applyNumberFormat="1" applyFont="1" applyFill="1" applyBorder="1"/>
    <x:xf numFmtId="0" fontId="12" fillId="12" borderId="10" xfId="0" applyNumberFormat="1" applyFont="1" applyFill="1" applyBorder="1"/>
    <x:xf numFmtId="0" fontId="12" fillId="12" borderId="11" xfId="0" applyNumberFormat="1" applyFont="1" applyFill="1" applyBorder="1"/>
    <x:xf numFmtId="0" fontId="12" fillId="12" borderId="12" xfId="0" applyNumberFormat="1" applyFont="1" applyFill="1" applyBorder="1"/>
    <x:xf numFmtId="0" fontId="12" fillId="12" borderId="13" xfId="0" applyNumberFormat="1" applyFont="1" applyFill="1" applyBorder="1"/>
    <x:xf numFmtId="0" fontId="12" fillId="12" borderId="14" xfId="0" applyNumberFormat="1" applyFont="1" applyFill="1" applyBorder="1"/>
    <x:xf numFmtId="0" fontId="12" fillId="12" borderId="15" xfId="0" applyNumberFormat="1" applyFont="1" applyFill="1" applyBorder="1"/>
    <x:xf numFmtId="0" fontId="12" fillId="12" borderId="16" xfId="0" applyNumberFormat="1" applyFont="1" applyFill="1" applyBorder="1"/>
    <x:xf numFmtId="0" fontId="12" fillId="12" borderId="17" xfId="0" applyNumberFormat="1" applyFont="1" applyFill="1" applyBorder="1"/>
    <x:xf numFmtId="0" fontId="12" fillId="12" borderId="10" xfId="0" applyNumberFormat="1" applyFont="1" applyFill="1" applyBorder="1" applyAlignment="1">
      <x:alignment wrapText="1"/>
    </x:xf>
    <x:xf numFmtId="0" fontId="12" fillId="12" borderId="11" xfId="0" applyNumberFormat="1" applyFont="1" applyFill="1" applyBorder="1" applyAlignment="1">
      <x:alignment wrapText="1"/>
    </x:xf>
    <x:xf numFmtId="0" fontId="12" fillId="12" borderId="12" xfId="0" applyNumberFormat="1" applyFont="1" applyFill="1" applyBorder="1" applyAlignment="1">
      <x:alignment wrapText="1"/>
    </x:xf>
    <x:xf numFmtId="0" fontId="12" fillId="12" borderId="1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wrapText="1"/>
    </x:xf>
    <x:xf numFmtId="0" fontId="12" fillId="12" borderId="14" xfId="0" applyNumberFormat="1" applyFont="1" applyFill="1" applyBorder="1" applyAlignment="1">
      <x:alignment wrapText="1"/>
    </x:xf>
    <x:xf numFmtId="0" fontId="12" fillId="12" borderId="15" xfId="0" applyNumberFormat="1" applyFont="1" applyFill="1" applyBorder="1" applyAlignment="1">
      <x:alignment wrapText="1"/>
    </x:xf>
    <x:xf numFmtId="0" fontId="12" fillId="12" borderId="16" xfId="0" applyNumberFormat="1" applyFont="1" applyFill="1" applyBorder="1" applyAlignment="1">
      <x:alignment wrapText="1"/>
    </x:xf>
    <x:xf numFmtId="0" fontId="12" fillId="12" borderId="17" xfId="0" applyNumberFormat="1" applyFont="1" applyFill="1" applyBorder="1" applyAlignment="1">
      <x:alignment wrapText="1"/>
    </x:xf>
    <x:xf numFmtId="0" fontId="12" fillId="12" borderId="10" xfId="0" applyNumberFormat="1" applyFont="1" applyFill="1" applyBorder="1" applyAlignment="1">
      <x:alignment vertical="center" wrapText="1"/>
    </x:xf>
    <x:xf numFmtId="0" fontId="12" fillId="12" borderId="11" xfId="0" applyNumberFormat="1" applyFont="1" applyFill="1" applyBorder="1" applyAlignment="1">
      <x:alignment vertical="center" wrapText="1"/>
    </x:xf>
    <x:xf numFmtId="0" fontId="12" fillId="12" borderId="12" xfId="0" applyNumberFormat="1" applyFont="1" applyFill="1" applyBorder="1" applyAlignment="1">
      <x:alignment vertical="center" wrapText="1"/>
    </x:xf>
    <x:xf numFmtId="0" fontId="12" fillId="12" borderId="13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2" fillId="12" borderId="14" xfId="0" applyNumberFormat="1" applyFont="1" applyFill="1" applyBorder="1" applyAlignment="1">
      <x:alignment vertical="center" wrapText="1"/>
    </x:xf>
    <x:xf numFmtId="0" fontId="12" fillId="12" borderId="15" xfId="0" applyNumberFormat="1" applyFont="1" applyFill="1" applyBorder="1" applyAlignment="1">
      <x:alignment vertical="center" wrapText="1"/>
    </x:xf>
    <x:xf numFmtId="0" fontId="12" fillId="12" borderId="16" xfId="0" applyNumberFormat="1" applyFont="1" applyFill="1" applyBorder="1" applyAlignment="1">
      <x:alignment vertical="center" wrapText="1"/>
    </x:xf>
    <x:xf numFmtId="0" fontId="12" fillId="12" borderId="17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/>
    <x:xf numFmtId="0" fontId="13" fillId="11" borderId="18" xfId="0" applyNumberFormat="1" applyFont="1" applyFill="1" applyBorder="1"/>
    <x:xf numFmtId="0" fontId="13" fillId="11" borderId="19" xfId="0" applyNumberFormat="1" applyFont="1" applyFill="1" applyBorder="1"/>
    <x:xf numFmtId="0" fontId="13" fillId="11" borderId="20" xfId="0" applyNumberFormat="1" applyFont="1" applyFill="1" applyBorder="1"/>
    <x:xf numFmtId="0" fontId="13" fillId="11" borderId="18" xfId="0" applyNumberFormat="1" applyFont="1" applyFill="1" applyBorder="1" applyAlignment="1">
      <x:alignment wrapText="1"/>
    </x:xf>
    <x:xf numFmtId="0" fontId="13" fillId="11" borderId="19" xfId="0" applyNumberFormat="1" applyFont="1" applyFill="1" applyBorder="1" applyAlignment="1">
      <x:alignment wrapText="1"/>
    </x:xf>
    <x:xf numFmtId="0" fontId="13" fillId="11" borderId="20" xfId="0" applyNumberFormat="1" applyFont="1" applyFill="1" applyBorder="1" applyAlignment="1">
      <x:alignment wrapText="1"/>
    </x:xf>
    <x:xf numFmtId="0" fontId="13" fillId="11" borderId="18" xfId="0" applyNumberFormat="1" applyFont="1" applyFill="1" applyBorder="1" applyAlignment="1">
      <x:alignment vertical="center" wrapText="1"/>
    </x:xf>
    <x:xf numFmtId="0" fontId="13" fillId="11" borderId="19" xfId="0" applyNumberFormat="1" applyFont="1" applyFill="1" applyBorder="1" applyAlignment="1">
      <x:alignment vertical="center" wrapText="1"/>
    </x:xf>
    <x:xf numFmtId="0" fontId="13" fillId="11" borderId="2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/>
    <x:xf numFmtId="0" fontId="13" fillId="11" borderId="21" xfId="0" applyNumberFormat="1" applyFont="1" applyFill="1" applyBorder="1"/>
    <x:xf numFmtId="0" fontId="13" fillId="11" borderId="22" xfId="0" applyNumberFormat="1" applyFont="1" applyFill="1" applyBorder="1"/>
    <x:xf numFmtId="0" fontId="13" fillId="11" borderId="23" xfId="0" applyNumberFormat="1" applyFont="1" applyFill="1" applyBorder="1"/>
    <x:xf numFmtId="0" fontId="13" fillId="11" borderId="21" xfId="0" applyNumberFormat="1" applyFont="1" applyFill="1" applyBorder="1" applyAlignment="1">
      <x:alignment wrapText="1"/>
    </x:xf>
    <x:xf numFmtId="0" fontId="13" fillId="11" borderId="22" xfId="0" applyNumberFormat="1" applyFont="1" applyFill="1" applyBorder="1" applyAlignment="1">
      <x:alignment wrapText="1"/>
    </x:xf>
    <x:xf numFmtId="0" fontId="13" fillId="11" borderId="23" xfId="0" applyNumberFormat="1" applyFont="1" applyFill="1" applyBorder="1" applyAlignment="1">
      <x:alignment wrapText="1"/>
    </x:xf>
    <x:xf numFmtId="0" fontId="13" fillId="11" borderId="21" xfId="0" applyNumberFormat="1" applyFont="1" applyFill="1" applyBorder="1" applyAlignment="1">
      <x:alignment vertical="center" wrapText="1"/>
    </x:xf>
    <x:xf numFmtId="0" fontId="13" fillId="11" borderId="22" xfId="0" applyNumberFormat="1" applyFont="1" applyFill="1" applyBorder="1" applyAlignment="1">
      <x:alignment vertical="center" wrapText="1"/>
    </x:xf>
    <x:xf numFmtId="0" fontId="13" fillId="11" borderId="23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24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24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314ecd33f488c" /><Relationship Type="http://schemas.openxmlformats.org/officeDocument/2006/relationships/theme" Target="/xl/theme/theme1.xml" Id="R41d41b7e9e064af1" /><Relationship Type="http://schemas.openxmlformats.org/officeDocument/2006/relationships/sharedStrings" Target="/xl/sharedStrings.xml" Id="R78a0c9457770414c" /><Relationship Type="http://schemas.openxmlformats.org/officeDocument/2006/relationships/worksheet" Target="/xl/worksheets/sheet1.xml" Id="Re588233bf85e40b7" /><Relationship Type="http://schemas.openxmlformats.org/officeDocument/2006/relationships/worksheet" Target="/xl/worksheets/sheet2.xml" Id="R42e234972009415f" /><Relationship Type="http://schemas.openxmlformats.org/officeDocument/2006/relationships/worksheet" Target="/xl/worksheets/sheet3.xml" Id="R0f04955185e542d7" /></Relationships>
</file>

<file path=xl/tables/table1.xml><?xml version="1.0" encoding="utf-8"?>
<x:table xmlns:x="http://schemas.openxmlformats.org/spreadsheetml/2006/main" id="1" name="CargaPTAB" displayName="CargaPTAB" ref="A6:J45" totalsRowShown="0">
  <x:tableColumns count="10">
    <x:tableColumn id="1" name="Proceso"/>
    <x:tableColumn id="2" name="Equipo"/>
    <x:tableColumn id="3" name="Variable de control"/>
    <x:tableColumn id="4" name="Rango de operación"/>
    <x:tableColumn id="5" name="Unidad"/>
    <x:tableColumn id="6" name="Valor 1er turno"/>
    <x:tableColumn id="7" name="Observación 1er turno"/>
    <x:tableColumn id="8" name="Valor 2do turno"/>
    <x:tableColumn id="9" name="Observación 2do turno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370d1cae034d37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23" customWidth="1"/>
    <x:col min="3" max="3" width="30" customWidth="1"/>
    <x:col min="4" max="4" width="22" customWidth="1"/>
    <x:col min="5" max="5" width="11" customWidth="1"/>
    <x:col min="6" max="6" width="14" customWidth="1"/>
    <x:col min="7" max="7" width="27" customWidth="1"/>
    <x:col min="8" max="8" width="14" customWidth="1"/>
    <x:col min="9" max="9" width="27" customWidth="1"/>
    <x:col min="10" max="10" width="14" customWidth="1"/>
  </x:cols>
  <x:sheetData>
    <x:row r="1" ht="24" customHeight="1">
      <x:c r="A1" s="18" t="s">
        <x:v>0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19.200000762939453" customHeight="1">
      <x:c r="A2" s="19" t="s">
        <x:v>1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1" t="s">
        <x:v>2</x:v>
      </x:c>
      <x:c r="B3" s="3"/>
      <x:c r="C3" s="1"/>
      <x:c r="D3" s="1" t="s">
        <x:v>3</x:v>
      </x:c>
      <x:c r="E3" s="2"/>
      <x:c r="F3" s="1"/>
      <x:c r="G3" s="1" t="s">
        <x:v>4</x:v>
      </x:c>
      <x:c r="H3" s="2"/>
      <x:c r="I3" s="1" t="s">
        <x:v>5</x:v>
      </x:c>
      <x:c r="J3" s="4" t="n">
        <x:f>COUNTA(F7:F48)+COUNTA(H7:H48)</x:f>
        <x:v>0</x:v>
      </x:c>
    </x:row>
    <x:row r="4" ht="20.850000381469727" customHeight="1">
      <x:c r="A4" s="20" t="s">
        <x:v>6</x:v>
      </x:c>
      <x:c r="B4" s="20"/>
      <x:c r="C4" s="20"/>
      <x:c r="D4" s="20"/>
      <x:c r="E4" s="20"/>
      <x:c r="F4" s="20"/>
      <x:c r="G4" s="20"/>
      <x:c r="H4" s="20"/>
      <x:c r="I4" s="20"/>
      <x:c r="J4" s="20"/>
    </x:row>
    <x:row r="6" ht="27.149999618530273" customHeight="1">
      <x:c r="A6" s="6" t="s">
        <x:v>7</x:v>
      </x:c>
      <x:c r="B6" s="6" t="s">
        <x:v>8</x:v>
      </x:c>
      <x:c r="C6" s="6" t="s">
        <x:v>9</x:v>
      </x:c>
      <x:c r="D6" s="6" t="s">
        <x:v>10</x:v>
      </x:c>
      <x:c r="E6" s="6" t="s">
        <x:v>11</x:v>
      </x:c>
      <x:c r="F6" s="6" t="s">
        <x:v>12</x:v>
      </x:c>
      <x:c r="G6" s="6" t="s">
        <x:v>13</x:v>
      </x:c>
      <x:c r="H6" s="6" t="s">
        <x:v>14</x:v>
      </x:c>
      <x:c r="I6" s="6" t="s">
        <x:v>15</x:v>
      </x:c>
      <x:c r="J6" s="6" t="s">
        <x:v>16</x:v>
      </x:c>
    </x:row>
    <x:row r="7">
      <x:c r="A7" s="11" t="str">
        <x:v>Agua cruda</x:v>
      </x:c>
      <x:c r="B7" s="11" t="str">
        <x:v>Pozo #2</x:v>
      </x:c>
      <x:c r="C7" s="11" t="str">
        <x:v>Presión (psi)</x:v>
      </x:c>
      <x:c r="D7" s="11" t="str">
        <x:v>—</x:v>
      </x:c>
      <x:c r="E7" s="11" t="str">
        <x:v>psi</x:v>
      </x:c>
      <x:c r="F7" s="10"/>
      <x:c r="G7" s="9"/>
      <x:c r="H7" s="10"/>
      <x:c r="I7" s="9"/>
      <x:c r="J7" s="8" t="str">
        <x:v>ptab_01</x:v>
      </x:c>
    </x:row>
    <x:row r="8">
      <x:c r="A8" s="7" t="str">
        <x:v>Agua cruda</x:v>
      </x:c>
      <x:c r="B8" s="7" t="str">
        <x:v>Pozo #2</x:v>
      </x:c>
      <x:c r="C8" s="7" t="str">
        <x:v>Caudal (l/s)</x:v>
      </x:c>
      <x:c r="D8" s="7" t="str">
        <x:v>—</x:v>
      </x:c>
      <x:c r="E8" s="7" t="str">
        <x:v>l/s</x:v>
      </x:c>
      <x:c r="F8" s="10"/>
      <x:c r="G8" s="9"/>
      <x:c r="H8" s="10"/>
      <x:c r="I8" s="9"/>
      <x:c r="J8" s="8" t="str">
        <x:v>ptab_02</x:v>
      </x:c>
    </x:row>
    <x:row r="9">
      <x:c r="A9" s="7" t="str">
        <x:v>Agua cruda</x:v>
      </x:c>
      <x:c r="B9" s="7" t="str">
        <x:v>Pozo #2</x:v>
      </x:c>
      <x:c r="C9" s="7" t="str">
        <x:v>Turbidez (NTU)</x:v>
      </x:c>
      <x:c r="D9" s="7" t="str">
        <x:v>&lt; 10 N.T.U.</x:v>
      </x:c>
      <x:c r="E9" s="7" t="str">
        <x:v>NTU</x:v>
      </x:c>
      <x:c r="F9" s="10"/>
      <x:c r="G9" s="9"/>
      <x:c r="H9" s="10"/>
      <x:c r="I9" s="9"/>
      <x:c r="J9" s="8" t="str">
        <x:v>ptab_03</x:v>
      </x:c>
    </x:row>
    <x:row r="10">
      <x:c r="A10" s="7" t="str">
        <x:v>Agua cruda</x:v>
      </x:c>
      <x:c r="B10" s="7" t="str">
        <x:v>Pozo #2</x:v>
      </x:c>
      <x:c r="C10" s="7" t="str">
        <x:v>pH (Adim)</x:v>
      </x:c>
      <x:c r="D10" s="7" t="str">
        <x:v>6,5 - 8,5</x:v>
      </x:c>
      <x:c r="E10" s="7" t="str"/>
      <x:c r="F10" s="10"/>
      <x:c r="G10" s="9"/>
      <x:c r="H10" s="10"/>
      <x:c r="I10" s="9"/>
      <x:c r="J10" s="8" t="str">
        <x:v>ptab_04</x:v>
      </x:c>
    </x:row>
    <x:row r="11">
      <x:c r="A11" s="7" t="str">
        <x:v>Agua cruda</x:v>
      </x:c>
      <x:c r="B11" s="7" t="str">
        <x:v>Pozo #2</x:v>
      </x:c>
      <x:c r="C11" s="7" t="str">
        <x:v>Nivel Dinámico</x:v>
      </x:c>
      <x:c r="D11" s="7" t="str">
        <x:v>—</x:v>
      </x:c>
      <x:c r="E11" s="7" t="str"/>
      <x:c r="F11" s="10"/>
      <x:c r="G11" s="9"/>
      <x:c r="H11" s="10"/>
      <x:c r="I11" s="9"/>
      <x:c r="J11" s="8" t="str">
        <x:v>ptab_05</x:v>
      </x:c>
    </x:row>
    <x:row r="12">
      <x:c r="A12" s="7" t="str">
        <x:v>Agua cruda</x:v>
      </x:c>
      <x:c r="B12" s="7" t="str">
        <x:v>Pozo #2</x:v>
      </x:c>
      <x:c r="C12" s="7" t="str">
        <x:v>Nivel Estático</x:v>
      </x:c>
      <x:c r="D12" s="7" t="str">
        <x:v>68 mts</x:v>
      </x:c>
      <x:c r="E12" s="7" t="str">
        <x:v>mts</x:v>
      </x:c>
      <x:c r="F12" s="10"/>
      <x:c r="G12" s="9"/>
      <x:c r="H12" s="10"/>
      <x:c r="I12" s="9"/>
      <x:c r="J12" s="8" t="str">
        <x:v>ptab_06</x:v>
      </x:c>
    </x:row>
    <x:row r="13">
      <x:c r="A13" s="7" t="str">
        <x:v>Agua cruda</x:v>
      </x:c>
      <x:c r="B13" s="7" t="str">
        <x:v>Pozo #3</x:v>
      </x:c>
      <x:c r="C13" s="7" t="str">
        <x:v>Presión (psi)</x:v>
      </x:c>
      <x:c r="D13" s="7" t="str">
        <x:v>—</x:v>
      </x:c>
      <x:c r="E13" s="7" t="str">
        <x:v>psi</x:v>
      </x:c>
      <x:c r="F13" s="10"/>
      <x:c r="G13" s="9"/>
      <x:c r="H13" s="10"/>
      <x:c r="I13" s="9"/>
      <x:c r="J13" s="8" t="str">
        <x:v>ptab_07</x:v>
      </x:c>
    </x:row>
    <x:row r="14">
      <x:c r="A14" s="7" t="str">
        <x:v>Agua cruda</x:v>
      </x:c>
      <x:c r="B14" s="7" t="str">
        <x:v>Pozo #3</x:v>
      </x:c>
      <x:c r="C14" s="7" t="str">
        <x:v>Caudal (l/s)</x:v>
      </x:c>
      <x:c r="D14" s="7" t="str">
        <x:v>—</x:v>
      </x:c>
      <x:c r="E14" s="7" t="str">
        <x:v>l/s</x:v>
      </x:c>
      <x:c r="F14" s="10"/>
      <x:c r="G14" s="9"/>
      <x:c r="H14" s="10"/>
      <x:c r="I14" s="9"/>
      <x:c r="J14" s="8" t="str">
        <x:v>ptab_08</x:v>
      </x:c>
    </x:row>
    <x:row r="15">
      <x:c r="A15" s="7" t="str">
        <x:v>Agua cruda</x:v>
      </x:c>
      <x:c r="B15" s="7" t="str">
        <x:v>Pozo #3</x:v>
      </x:c>
      <x:c r="C15" s="7" t="str">
        <x:v>Turbidez (NTU)</x:v>
      </x:c>
      <x:c r="D15" s="7" t="str">
        <x:v>&lt; 10 N.T.U.</x:v>
      </x:c>
      <x:c r="E15" s="7" t="str">
        <x:v>NTU</x:v>
      </x:c>
      <x:c r="F15" s="10"/>
      <x:c r="G15" s="9"/>
      <x:c r="H15" s="10"/>
      <x:c r="I15" s="9"/>
      <x:c r="J15" s="8" t="str">
        <x:v>ptab_09</x:v>
      </x:c>
    </x:row>
    <x:row r="16">
      <x:c r="A16" s="7" t="str">
        <x:v>Agua cruda</x:v>
      </x:c>
      <x:c r="B16" s="7" t="str">
        <x:v>Pozo #3</x:v>
      </x:c>
      <x:c r="C16" s="7" t="str">
        <x:v>pH (Adim)</x:v>
      </x:c>
      <x:c r="D16" s="7" t="str">
        <x:v>6,5 - 8,5</x:v>
      </x:c>
      <x:c r="E16" s="7" t="str"/>
      <x:c r="F16" s="10"/>
      <x:c r="G16" s="9"/>
      <x:c r="H16" s="10"/>
      <x:c r="I16" s="9"/>
      <x:c r="J16" s="8" t="str">
        <x:v>ptab_10</x:v>
      </x:c>
    </x:row>
    <x:row r="17">
      <x:c r="A17" s="7" t="str">
        <x:v>Agua cruda</x:v>
      </x:c>
      <x:c r="B17" s="7" t="str">
        <x:v>Pozo #3</x:v>
      </x:c>
      <x:c r="C17" s="7" t="str">
        <x:v>Nivel Dinámico</x:v>
      </x:c>
      <x:c r="D17" s="7" t="str">
        <x:v>—</x:v>
      </x:c>
      <x:c r="E17" s="7" t="str"/>
      <x:c r="F17" s="10"/>
      <x:c r="G17" s="9"/>
      <x:c r="H17" s="10"/>
      <x:c r="I17" s="9"/>
      <x:c r="J17" s="8" t="str">
        <x:v>ptab_11</x:v>
      </x:c>
    </x:row>
    <x:row r="18">
      <x:c r="A18" s="7" t="str">
        <x:v>Agua cruda</x:v>
      </x:c>
      <x:c r="B18" s="7" t="str">
        <x:v>Pozo #3</x:v>
      </x:c>
      <x:c r="C18" s="7" t="str">
        <x:v>Nivel Estático</x:v>
      </x:c>
      <x:c r="D18" s="7" t="str">
        <x:v>68 mts</x:v>
      </x:c>
      <x:c r="E18" s="7" t="str">
        <x:v>mts</x:v>
      </x:c>
      <x:c r="F18" s="10"/>
      <x:c r="G18" s="9"/>
      <x:c r="H18" s="10"/>
      <x:c r="I18" s="9"/>
      <x:c r="J18" s="8" t="str">
        <x:v>ptab_12</x:v>
      </x:c>
    </x:row>
    <x:row r="19">
      <x:c r="A19" s="7" t="str">
        <x:v>Agua cruda</x:v>
      </x:c>
      <x:c r="B19" s="7" t="str">
        <x:v>Tanque Subterráneo</x:v>
      </x:c>
      <x:c r="C19" s="7" t="str">
        <x:v>Nivel TQ (%)</x:v>
      </x:c>
      <x:c r="D19" s="7" t="str">
        <x:v>—</x:v>
      </x:c>
      <x:c r="E19" s="7" t="str">
        <x:v>%</x:v>
      </x:c>
      <x:c r="F19" s="10"/>
      <x:c r="G19" s="9"/>
      <x:c r="H19" s="10"/>
      <x:c r="I19" s="9"/>
      <x:c r="J19" s="8" t="str">
        <x:v>ptab_13</x:v>
      </x:c>
    </x:row>
    <x:row r="20">
      <x:c r="A20" s="7" t="str">
        <x:v>Agua cruda</x:v>
      </x:c>
      <x:c r="B20" s="7" t="str">
        <x:v>Tanque Subterráneo</x:v>
      </x:c>
      <x:c r="C20" s="7" t="str">
        <x:v>pH (Adim)</x:v>
      </x:c>
      <x:c r="D20" s="7" t="str">
        <x:v>6,5 - 8,5</x:v>
      </x:c>
      <x:c r="E20" s="7" t="str"/>
      <x:c r="F20" s="10"/>
      <x:c r="G20" s="9"/>
      <x:c r="H20" s="10"/>
      <x:c r="I20" s="9"/>
      <x:c r="J20" s="8" t="str">
        <x:v>ptab_14</x:v>
      </x:c>
    </x:row>
    <x:row r="21">
      <x:c r="A21" s="7" t="str">
        <x:v>Agua cruda</x:v>
      </x:c>
      <x:c r="B21" s="7" t="str">
        <x:v>Tanque Subterráneo</x:v>
      </x:c>
      <x:c r="C21" s="7" t="str">
        <x:v>TDS (mg/l)</x:v>
      </x:c>
      <x:c r="D21" s="7" t="str">
        <x:v>—</x:v>
      </x:c>
      <x:c r="E21" s="7" t="str">
        <x:v>mg/L</x:v>
      </x:c>
      <x:c r="F21" s="10"/>
      <x:c r="G21" s="9"/>
      <x:c r="H21" s="10"/>
      <x:c r="I21" s="9"/>
      <x:c r="J21" s="8" t="str">
        <x:v>ptab_15</x:v>
      </x:c>
    </x:row>
    <x:row r="22">
      <x:c r="A22" s="7" t="str">
        <x:v>Agua cruda</x:v>
      </x:c>
      <x:c r="B22" s="7" t="str">
        <x:v>Tanque Subterráneo</x:v>
      </x:c>
      <x:c r="C22" s="7" t="str">
        <x:v>Turbidez (NTU)</x:v>
      </x:c>
      <x:c r="D22" s="7" t="str">
        <x:v>&lt; 10 N.T.U.</x:v>
      </x:c>
      <x:c r="E22" s="7" t="str">
        <x:v>NTU</x:v>
      </x:c>
      <x:c r="F22" s="10"/>
      <x:c r="G22" s="9"/>
      <x:c r="H22" s="10"/>
      <x:c r="I22" s="9"/>
      <x:c r="J22" s="8" t="str">
        <x:v>ptab_16</x:v>
      </x:c>
    </x:row>
    <x:row r="23">
      <x:c r="A23" s="7" t="str">
        <x:v>Agua cruda</x:v>
      </x:c>
      <x:c r="B23" s="7" t="str">
        <x:v>Tanque Subterráneo</x:v>
      </x:c>
      <x:c r="C23" s="7" t="str">
        <x:v>Alcalinidad (mg/L)</x:v>
      </x:c>
      <x:c r="D23" s="7" t="str">
        <x:v>&lt; 500 mg/L</x:v>
      </x:c>
      <x:c r="E23" s="7" t="str">
        <x:v>mg/L</x:v>
      </x:c>
      <x:c r="F23" s="10"/>
      <x:c r="G23" s="9"/>
      <x:c r="H23" s="10"/>
      <x:c r="I23" s="9"/>
      <x:c r="J23" s="8" t="str">
        <x:v>ptab_17</x:v>
      </x:c>
    </x:row>
    <x:row r="24">
      <x:c r="A24" s="7" t="str">
        <x:v>Agua cruda</x:v>
      </x:c>
      <x:c r="B24" s="7" t="str">
        <x:v>Tanque Subterráneo</x:v>
      </x:c>
      <x:c r="C24" s="7" t="str">
        <x:v>Cloro Libre (mg/L)</x:v>
      </x:c>
      <x:c r="D24" s="7" t="str">
        <x:v>0,5 - 3,0 mg/L</x:v>
      </x:c>
      <x:c r="E24" s="7" t="str">
        <x:v>mg/L</x:v>
      </x:c>
      <x:c r="F24" s="10"/>
      <x:c r="G24" s="9"/>
      <x:c r="H24" s="10"/>
      <x:c r="I24" s="9"/>
      <x:c r="J24" s="8" t="str">
        <x:v>ptab_18</x:v>
      </x:c>
    </x:row>
    <x:row r="25">
      <x:c r="A25" s="7" t="str">
        <x:v>Agua cruda</x:v>
      </x:c>
      <x:c r="B25" s="7" t="str">
        <x:v>Tanque Subterráneo</x:v>
      </x:c>
      <x:c r="C25" s="7" t="str">
        <x:v>Dureza Total (mg/L)</x:v>
      </x:c>
      <x:c r="D25" s="7" t="str">
        <x:v>&lt; 500 mg/L</x:v>
      </x:c>
      <x:c r="E25" s="7" t="str">
        <x:v>mg/L</x:v>
      </x:c>
      <x:c r="F25" s="10"/>
      <x:c r="G25" s="9"/>
      <x:c r="H25" s="10"/>
      <x:c r="I25" s="9"/>
      <x:c r="J25" s="8" t="str">
        <x:v>ptab_19</x:v>
      </x:c>
    </x:row>
    <x:row r="26">
      <x:c r="A26" s="7" t="str">
        <x:v>Agua cruda</x:v>
      </x:c>
      <x:c r="B26" s="7" t="str">
        <x:v>Tanque Subterráneo</x:v>
      </x:c>
      <x:c r="C26" s="7" t="str">
        <x:v>Hierro (mg/L)</x:v>
      </x:c>
      <x:c r="D26" s="7" t="str">
        <x:v>&lt; 8,0 mg/L</x:v>
      </x:c>
      <x:c r="E26" s="7" t="str">
        <x:v>mg/L</x:v>
      </x:c>
      <x:c r="F26" s="10"/>
      <x:c r="G26" s="9"/>
      <x:c r="H26" s="10"/>
      <x:c r="I26" s="9"/>
      <x:c r="J26" s="8" t="str">
        <x:v>ptab_20</x:v>
      </x:c>
    </x:row>
    <x:row r="27">
      <x:c r="A27" s="11" t="str">
        <x:v>Agua cruda</x:v>
      </x:c>
      <x:c r="B27" s="11" t="str">
        <x:v>Tanque Subterráneo</x:v>
      </x:c>
      <x:c r="C27" s="11" t="str">
        <x:v>Bomba 1</x:v>
      </x:c>
      <x:c r="D27" s="11" t="str">
        <x:v>—</x:v>
      </x:c>
      <x:c r="E27" s="11" t="str"/>
      <x:c r="F27" s="10"/>
      <x:c r="G27" s="9"/>
      <x:c r="H27" s="10"/>
      <x:c r="I27" s="9"/>
      <x:c r="J27" s="8" t="str">
        <x:v>ptab_40</x:v>
      </x:c>
    </x:row>
    <x:row r="28">
      <x:c r="A28" s="7" t="str">
        <x:v>Agua cruda</x:v>
      </x:c>
      <x:c r="B28" s="7" t="str">
        <x:v>Tanque Subterráneo</x:v>
      </x:c>
      <x:c r="C28" s="7" t="str">
        <x:v>Bomba 2</x:v>
      </x:c>
      <x:c r="D28" s="7" t="str">
        <x:v>—</x:v>
      </x:c>
      <x:c r="E28" s="7" t="str"/>
      <x:c r="F28" s="10"/>
      <x:c r="G28" s="9"/>
      <x:c r="H28" s="10"/>
      <x:c r="I28" s="9"/>
      <x:c r="J28" s="8" t="str">
        <x:v>ptab_41</x:v>
      </x:c>
    </x:row>
    <x:row r="29">
      <x:c r="A29" s="7" t="str">
        <x:v>Agua cruda</x:v>
      </x:c>
      <x:c r="B29" s="7" t="str">
        <x:v>Tanque Subterráneo</x:v>
      </x:c>
      <x:c r="C29" s="7" t="str">
        <x:v>Bomba 3</x:v>
      </x:c>
      <x:c r="D29" s="7" t="str">
        <x:v>—</x:v>
      </x:c>
      <x:c r="E29" s="7" t="str"/>
      <x:c r="F29" s="10"/>
      <x:c r="G29" s="9"/>
      <x:c r="H29" s="10"/>
      <x:c r="I29" s="9"/>
      <x:c r="J29" s="8" t="str">
        <x:v>ptab_42</x:v>
      </x:c>
    </x:row>
    <x:row r="30">
      <x:c r="A30" s="7" t="str">
        <x:v>Agua filtrada</x:v>
      </x:c>
      <x:c r="B30" s="7" t="str">
        <x:v>Filtro Arena N°1</x:v>
      </x:c>
      <x:c r="C30" s="7" t="str">
        <x:v>Presión Entrada (psi)</x:v>
      </x:c>
      <x:c r="D30" s="7" t="str">
        <x:v>—</x:v>
      </x:c>
      <x:c r="E30" s="7" t="str">
        <x:v>psi</x:v>
      </x:c>
      <x:c r="F30" s="10"/>
      <x:c r="G30" s="9"/>
      <x:c r="H30" s="10"/>
      <x:c r="I30" s="9"/>
      <x:c r="J30" s="8" t="str">
        <x:v>ptab_21</x:v>
      </x:c>
    </x:row>
    <x:row r="31">
      <x:c r="A31" s="7" t="str">
        <x:v>Agua filtrada</x:v>
      </x:c>
      <x:c r="B31" s="7" t="str">
        <x:v>Filtro Arena N°1</x:v>
      </x:c>
      <x:c r="C31" s="7" t="str">
        <x:v>Presión de Salida (psi)</x:v>
      </x:c>
      <x:c r="D31" s="7" t="str">
        <x:v>&lt; 72,5</x:v>
      </x:c>
      <x:c r="E31" s="7" t="str">
        <x:v>psi</x:v>
      </x:c>
      <x:c r="F31" s="10"/>
      <x:c r="G31" s="9"/>
      <x:c r="H31" s="10"/>
      <x:c r="I31" s="9"/>
      <x:c r="J31" s="8" t="str">
        <x:v>ptab_22</x:v>
      </x:c>
    </x:row>
    <x:row r="32">
      <x:c r="A32" s="7" t="str">
        <x:v>Agua filtrada</x:v>
      </x:c>
      <x:c r="B32" s="7" t="str">
        <x:v>Filtro Arena N°1</x:v>
      </x:c>
      <x:c r="C32" s="7" t="str">
        <x:v>Caudal Operación (l/s)</x:v>
      </x:c>
      <x:c r="D32" s="7" t="str">
        <x:v>—</x:v>
      </x:c>
      <x:c r="E32" s="7" t="str">
        <x:v>l/s</x:v>
      </x:c>
      <x:c r="F32" s="10"/>
      <x:c r="G32" s="9"/>
      <x:c r="H32" s="10"/>
      <x:c r="I32" s="9"/>
      <x:c r="J32" s="8" t="str">
        <x:v>ptab_23</x:v>
      </x:c>
    </x:row>
    <x:row r="33">
      <x:c r="A33" s="7" t="str">
        <x:v>Agua filtrada</x:v>
      </x:c>
      <x:c r="B33" s="7" t="str">
        <x:v>Filtro Arena N°1</x:v>
      </x:c>
      <x:c r="C33" s="7" t="str">
        <x:v>Turbidez (NTU)</x:v>
      </x:c>
      <x:c r="D33" s="7" t="str">
        <x:v>&lt; 01 N.T.U.</x:v>
      </x:c>
      <x:c r="E33" s="7" t="str">
        <x:v>NTU</x:v>
      </x:c>
      <x:c r="F33" s="10"/>
      <x:c r="G33" s="9"/>
      <x:c r="H33" s="10"/>
      <x:c r="I33" s="9"/>
      <x:c r="J33" s="8" t="str">
        <x:v>ptab_24</x:v>
      </x:c>
    </x:row>
    <x:row r="34">
      <x:c r="A34" s="7" t="str">
        <x:v>Agua filtrada</x:v>
      </x:c>
      <x:c r="B34" s="7" t="str">
        <x:v>Filtro Arena N°2</x:v>
      </x:c>
      <x:c r="C34" s="7" t="str">
        <x:v>Presión Entrada (psi)</x:v>
      </x:c>
      <x:c r="D34" s="7" t="str">
        <x:v>—</x:v>
      </x:c>
      <x:c r="E34" s="7" t="str">
        <x:v>psi</x:v>
      </x:c>
      <x:c r="F34" s="10"/>
      <x:c r="G34" s="9"/>
      <x:c r="H34" s="10"/>
      <x:c r="I34" s="9"/>
      <x:c r="J34" s="8" t="str">
        <x:v>ptab_25</x:v>
      </x:c>
    </x:row>
    <x:row r="35">
      <x:c r="A35" s="7" t="str">
        <x:v>Agua filtrada</x:v>
      </x:c>
      <x:c r="B35" s="7" t="str">
        <x:v>Filtro Arena N°2</x:v>
      </x:c>
      <x:c r="C35" s="7" t="str">
        <x:v>Presión de Salida (psi)</x:v>
      </x:c>
      <x:c r="D35" s="7" t="str">
        <x:v>&lt; 72,5</x:v>
      </x:c>
      <x:c r="E35" s="7" t="str">
        <x:v>psi</x:v>
      </x:c>
      <x:c r="F35" s="10"/>
      <x:c r="G35" s="9"/>
      <x:c r="H35" s="10"/>
      <x:c r="I35" s="9"/>
      <x:c r="J35" s="8" t="str">
        <x:v>ptab_26</x:v>
      </x:c>
    </x:row>
    <x:row r="36">
      <x:c r="A36" s="7" t="str">
        <x:v>Agua filtrada</x:v>
      </x:c>
      <x:c r="B36" s="7" t="str">
        <x:v>Filtro Arena N°2</x:v>
      </x:c>
      <x:c r="C36" s="7" t="str">
        <x:v>Caudal Operación (l/s)</x:v>
      </x:c>
      <x:c r="D36" s="7" t="str">
        <x:v>—</x:v>
      </x:c>
      <x:c r="E36" s="7" t="str">
        <x:v>l/s</x:v>
      </x:c>
      <x:c r="F36" s="10"/>
      <x:c r="G36" s="9"/>
      <x:c r="H36" s="10"/>
      <x:c r="I36" s="9"/>
      <x:c r="J36" s="8" t="str">
        <x:v>ptab_27</x:v>
      </x:c>
    </x:row>
    <x:row r="37">
      <x:c r="A37" s="7" t="str">
        <x:v>Agua filtrada</x:v>
      </x:c>
      <x:c r="B37" s="7" t="str">
        <x:v>Filtro Arena N°2</x:v>
      </x:c>
      <x:c r="C37" s="7" t="str">
        <x:v>Turbidez (NTU)</x:v>
      </x:c>
      <x:c r="D37" s="7" t="str">
        <x:v>&lt; 01 N.T.U.</x:v>
      </x:c>
      <x:c r="E37" s="7" t="str">
        <x:v>NTU</x:v>
      </x:c>
      <x:c r="F37" s="10"/>
      <x:c r="G37" s="9"/>
      <x:c r="H37" s="10"/>
      <x:c r="I37" s="9"/>
      <x:c r="J37" s="8" t="str">
        <x:v>ptab_28</x:v>
      </x:c>
    </x:row>
    <x:row r="38">
      <x:c r="A38" s="7" t="str">
        <x:v>Agua filtrada</x:v>
      </x:c>
      <x:c r="B38" s="7" t="str">
        <x:v>Filtro Arena N°3</x:v>
      </x:c>
      <x:c r="C38" s="7" t="str">
        <x:v>Presión Entrada (psi)</x:v>
      </x:c>
      <x:c r="D38" s="7" t="str">
        <x:v>—</x:v>
      </x:c>
      <x:c r="E38" s="7" t="str">
        <x:v>psi</x:v>
      </x:c>
      <x:c r="F38" s="10"/>
      <x:c r="G38" s="9"/>
      <x:c r="H38" s="10"/>
      <x:c r="I38" s="9"/>
      <x:c r="J38" s="8" t="str">
        <x:v>ptab_29</x:v>
      </x:c>
    </x:row>
    <x:row r="39">
      <x:c r="A39" s="7" t="str">
        <x:v>Agua filtrada</x:v>
      </x:c>
      <x:c r="B39" s="7" t="str">
        <x:v>Filtro Arena N°3</x:v>
      </x:c>
      <x:c r="C39" s="7" t="str">
        <x:v>Presión de Salida (psi)</x:v>
      </x:c>
      <x:c r="D39" s="7" t="str">
        <x:v>&lt; 72,5</x:v>
      </x:c>
      <x:c r="E39" s="7" t="str">
        <x:v>psi</x:v>
      </x:c>
      <x:c r="F39" s="10"/>
      <x:c r="G39" s="9"/>
      <x:c r="H39" s="10"/>
      <x:c r="I39" s="9"/>
      <x:c r="J39" s="8" t="str">
        <x:v>ptab_30</x:v>
      </x:c>
    </x:row>
    <x:row r="40">
      <x:c r="A40" s="7" t="str">
        <x:v>Agua filtrada</x:v>
      </x:c>
      <x:c r="B40" s="7" t="str">
        <x:v>Filtro Arena N°3</x:v>
      </x:c>
      <x:c r="C40" s="7" t="str">
        <x:v>Caudal Operación (l/s)</x:v>
      </x:c>
      <x:c r="D40" s="7" t="str">
        <x:v>—</x:v>
      </x:c>
      <x:c r="E40" s="7" t="str">
        <x:v>l/s</x:v>
      </x:c>
      <x:c r="F40" s="10"/>
      <x:c r="G40" s="9"/>
      <x:c r="H40" s="10"/>
      <x:c r="I40" s="9"/>
      <x:c r="J40" s="8" t="str">
        <x:v>ptab_31</x:v>
      </x:c>
    </x:row>
    <x:row r="41">
      <x:c r="A41" s="7" t="str">
        <x:v>Agua filtrada</x:v>
      </x:c>
      <x:c r="B41" s="7" t="str">
        <x:v>Filtro Arena N°3</x:v>
      </x:c>
      <x:c r="C41" s="7" t="str">
        <x:v>Turbidez (NTU)</x:v>
      </x:c>
      <x:c r="D41" s="7" t="str">
        <x:v>&lt; 01 N.T.U.</x:v>
      </x:c>
      <x:c r="E41" s="7" t="str">
        <x:v>NTU</x:v>
      </x:c>
      <x:c r="F41" s="10"/>
      <x:c r="G41" s="9"/>
      <x:c r="H41" s="10"/>
      <x:c r="I41" s="9"/>
      <x:c r="J41" s="8" t="str">
        <x:v>ptab_32</x:v>
      </x:c>
    </x:row>
    <x:row r="42">
      <x:c r="A42" s="7" t="str">
        <x:v>Agua filtrada</x:v>
      </x:c>
      <x:c r="B42" s="7" t="str">
        <x:v>Filtro Arena N°4</x:v>
      </x:c>
      <x:c r="C42" s="7" t="str">
        <x:v>Presión Entrada (psi)</x:v>
      </x:c>
      <x:c r="D42" s="7" t="str">
        <x:v>—</x:v>
      </x:c>
      <x:c r="E42" s="7" t="str">
        <x:v>psi</x:v>
      </x:c>
      <x:c r="F42" s="10"/>
      <x:c r="G42" s="9"/>
      <x:c r="H42" s="10"/>
      <x:c r="I42" s="9"/>
      <x:c r="J42" s="8" t="str">
        <x:v>ptab_33</x:v>
      </x:c>
    </x:row>
    <x:row r="43">
      <x:c r="A43" s="7" t="str">
        <x:v>Agua filtrada</x:v>
      </x:c>
      <x:c r="B43" s="7" t="str">
        <x:v>Filtro Arena N°4</x:v>
      </x:c>
      <x:c r="C43" s="7" t="str">
        <x:v>Presión de Salida (psi)</x:v>
      </x:c>
      <x:c r="D43" s="7" t="str">
        <x:v>&lt; 72,5</x:v>
      </x:c>
      <x:c r="E43" s="7" t="str">
        <x:v>psi</x:v>
      </x:c>
      <x:c r="F43" s="10"/>
      <x:c r="G43" s="9"/>
      <x:c r="H43" s="10"/>
      <x:c r="I43" s="9"/>
      <x:c r="J43" s="8" t="str">
        <x:v>ptab_34</x:v>
      </x:c>
    </x:row>
    <x:row r="44">
      <x:c r="A44" s="7" t="str">
        <x:v>Agua filtrada</x:v>
      </x:c>
      <x:c r="B44" s="7" t="str">
        <x:v>Filtro Arena N°4</x:v>
      </x:c>
      <x:c r="C44" s="7" t="str">
        <x:v>Caudal Operación (l/s)</x:v>
      </x:c>
      <x:c r="D44" s="7" t="str">
        <x:v>—</x:v>
      </x:c>
      <x:c r="E44" s="7" t="str">
        <x:v>l/s</x:v>
      </x:c>
      <x:c r="F44" s="10"/>
      <x:c r="G44" s="9"/>
      <x:c r="H44" s="10"/>
      <x:c r="I44" s="9"/>
      <x:c r="J44" s="8" t="str">
        <x:v>ptab_35</x:v>
      </x:c>
    </x:row>
    <x:row r="45">
      <x:c r="A45" s="7" t="str">
        <x:v>Agua filtrada</x:v>
      </x:c>
      <x:c r="B45" s="7" t="str">
        <x:v>Filtro Arena N°4</x:v>
      </x:c>
      <x:c r="C45" s="7" t="str">
        <x:v>Turbidez (NTU)</x:v>
      </x:c>
      <x:c r="D45" s="7" t="str">
        <x:v>&lt; 01 N.T.U.</x:v>
      </x:c>
      <x:c r="E45" s="7" t="str">
        <x:v>NTU</x:v>
      </x:c>
      <x:c r="F45" s="10"/>
      <x:c r="G45" s="9"/>
      <x:c r="H45" s="10"/>
      <x:c r="I45" s="9"/>
      <x:c r="J45" s="8" t="str">
        <x:v>ptab_36</x:v>
      </x:c>
    </x:row>
    <x:row r="46">
      <x:c r="A46" s="63" t="str">
        <x:v>Agua filtrada</x:v>
      </x:c>
      <x:c r="B46" s="64" t="str">
        <x:v>Tanque Elevado</x:v>
      </x:c>
      <x:c r="C46" s="64" t="str">
        <x:v>Cloro Libre (mg/L)</x:v>
      </x:c>
      <x:c r="D46" s="64" t="str">
        <x:v>0,5 - 1,0 mg/L</x:v>
      </x:c>
      <x:c r="E46" s="65" t="str">
        <x:v>mg/L</x:v>
      </x:c>
      <x:c r="F46" s="119"/>
      <x:c r="G46" s="120"/>
      <x:c r="H46" s="120"/>
      <x:c r="I46" s="121"/>
      <x:c r="J46" s="163" t="str">
        <x:v>ptab_37</x:v>
      </x:c>
    </x:row>
    <x:row r="47">
      <x:c r="A47" s="66" t="str">
        <x:v>Agua filtrada</x:v>
      </x:c>
      <x:c r="B47" s="67" t="str">
        <x:v>Tanque Elevado</x:v>
      </x:c>
      <x:c r="C47" s="67" t="str">
        <x:v>Hierro (mg/L)</x:v>
      </x:c>
      <x:c r="D47" s="67" t="str">
        <x:v>&lt; 0,3 mg/L</x:v>
      </x:c>
      <x:c r="E47" s="68" t="str">
        <x:v>mg/L</x:v>
      </x:c>
      <x:c r="F47" s="122"/>
      <x:c r="G47" s="123"/>
      <x:c r="H47" s="123"/>
      <x:c r="I47" s="124"/>
      <x:c r="J47" s="164" t="str">
        <x:v>ptab_38</x:v>
      </x:c>
    </x:row>
    <x:row r="48">
      <x:c r="A48" s="69" t="str">
        <x:v>Agua filtrada</x:v>
      </x:c>
      <x:c r="B48" s="70" t="str">
        <x:v>Tanque Elevado</x:v>
      </x:c>
      <x:c r="C48" s="70" t="str">
        <x:v>Turbidez (NTU)</x:v>
      </x:c>
      <x:c r="D48" s="70" t="str">
        <x:v>&lt; 01 N.T.U.</x:v>
      </x:c>
      <x:c r="E48" s="71" t="str">
        <x:v>NTU</x:v>
      </x:c>
      <x:c r="F48" s="125"/>
      <x:c r="G48" s="126"/>
      <x:c r="H48" s="126"/>
      <x:c r="I48" s="127"/>
      <x:c r="J48" s="165" t="str">
        <x:v>ptab_39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d6370d1cae034d37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3" width="15" customWidth="1"/>
    <x:col min="4" max="4" width="22" customWidth="1"/>
    <x:col min="5" max="5" width="24" customWidth="1"/>
    <x:col min="6" max="6" width="28" customWidth="1"/>
    <x:col min="7" max="7" width="22" customWidth="1"/>
    <x:col min="8" max="12" width="15" customWidth="1"/>
    <x:col min="13" max="13" width="28" customWidth="1"/>
    <x:col min="14" max="14" width="24" customWidth="1"/>
    <x:col min="15" max="15" width="15" customWidth="1"/>
  </x:cols>
  <x:sheetData>
    <x:row r="1" ht="27.600000381469727">
      <x:c r="A1" s="12" t="s">
        <x:v>17</x:v>
      </x:c>
      <x:c r="B1" s="12" t="s">
        <x:v>18</x:v>
      </x:c>
      <x:c r="C1" s="12" t="s">
        <x:v>19</x:v>
      </x:c>
      <x:c r="D1" s="12" t="s">
        <x:v>20</x:v>
      </x:c>
      <x:c r="E1" s="12" t="s">
        <x:v>7</x:v>
      </x:c>
      <x:c r="F1" s="12" t="s">
        <x:v>8</x:v>
      </x:c>
      <x:c r="G1" s="12" t="s">
        <x:v>21</x:v>
      </x:c>
      <x:c r="H1" s="12" t="s">
        <x:v>22</x:v>
      </x:c>
      <x:c r="I1" s="12" t="s">
        <x:v>11</x:v>
      </x:c>
      <x:c r="J1" s="12" t="s">
        <x:v>23</x:v>
      </x:c>
      <x:c r="K1" s="12" t="s">
        <x:v>24</x:v>
      </x:c>
      <x:c r="L1" s="12" t="s">
        <x:v>25</x:v>
      </x:c>
      <x:c r="M1" s="12" t="s">
        <x:v>26</x:v>
      </x:c>
      <x:c r="N1" s="12" t="s">
        <x:v>27</x:v>
      </x:c>
      <x:c r="O1" s="12" t="s">
        <x:v>28</x:v>
      </x:c>
    </x:row>
    <x:row r="2">
      <x:c r="A2" s="14" t="str">
        <x:f>IF('Carga diaria'!F7="","",'Carga diaria'!$B$3)</x:f>
      </x:c>
      <x:c r="B2" s="13" t="str">
        <x:v>1er Turno</x:v>
      </x:c>
      <x:c r="C2" s="13" t="str">
        <x:v>06:00 am</x:v>
      </x:c>
      <x:c r="D2" s="13" t="str">
        <x:f>IF('Carga diaria'!F7="","",'Carga diaria'!$E$3)</x:f>
      </x:c>
      <x:c r="E2" s="13" t="str">
        <x:v>Agua cruda</x:v>
      </x:c>
      <x:c r="F2" s="13" t="str">
        <x:v>Pozo #2</x:v>
      </x:c>
      <x:c r="G2" s="13" t="str">
        <x:v>Presión (psi)</x:v>
      </x:c>
      <x:c r="H2" s="13" t="str">
        <x:v>—</x:v>
      </x:c>
      <x:c r="I2" s="13" t="str">
        <x:v>psi</x:v>
      </x:c>
      <x:c r="J2" s="13" t="str">
        <x:f>IF('Carga diaria'!F7="","",'Carga diaria'!F7)</x:f>
      </x:c>
      <x:c r="K2" s="13" t="str">
        <x:f>IF('Carga diaria'!F7="","",'Carga diaria'!F7)</x:f>
      </x:c>
      <x:c r="L2" s="13"/>
      <x:c r="M2" s="13" t="str">
        <x:f>IF('Carga diaria'!F7="","",'Carga diaria'!G7)</x:f>
      </x:c>
      <x:c r="N2" s="13" t="str">
        <x:v>Carga diaria operador</x:v>
      </x:c>
      <x:c r="O2" s="13" t="str">
        <x:v>ptab_01</x:v>
      </x:c>
    </x:row>
    <x:row r="3">
      <x:c r="A3" s="14" t="str">
        <x:f>IF('Carga diaria'!H7="","",'Carga diaria'!$B$3)</x:f>
      </x:c>
      <x:c r="B3" s="13" t="str">
        <x:v>2do Turno</x:v>
      </x:c>
      <x:c r="C3" s="13" t="str">
        <x:v>06:00 pm</x:v>
      </x:c>
      <x:c r="D3" s="13" t="str">
        <x:f>IF('Carga diaria'!H7="","",'Carga diaria'!$H$3)</x:f>
      </x:c>
      <x:c r="E3" s="13" t="str">
        <x:v>Agua cruda</x:v>
      </x:c>
      <x:c r="F3" s="13" t="str">
        <x:v>Pozo #2</x:v>
      </x:c>
      <x:c r="G3" s="13" t="str">
        <x:v>Presión (psi)</x:v>
      </x:c>
      <x:c r="H3" s="13" t="str">
        <x:v>—</x:v>
      </x:c>
      <x:c r="I3" s="13" t="str">
        <x:v>psi</x:v>
      </x:c>
      <x:c r="J3" s="13" t="str">
        <x:f>IF('Carga diaria'!H7="","",'Carga diaria'!H7)</x:f>
      </x:c>
      <x:c r="K3" s="13" t="str">
        <x:f>IF('Carga diaria'!H7="","",'Carga diaria'!H7)</x:f>
      </x:c>
      <x:c r="L3" s="13"/>
      <x:c r="M3" s="13" t="str">
        <x:f>IF('Carga diaria'!H7="","",'Carga diaria'!I7)</x:f>
      </x:c>
      <x:c r="N3" s="13" t="str">
        <x:v>Carga diaria operador</x:v>
      </x:c>
      <x:c r="O3" s="13" t="str">
        <x:v>ptab_01</x:v>
      </x:c>
    </x:row>
    <x:row r="4">
      <x:c r="A4" s="14" t="str">
        <x:f>IF('Carga diaria'!F8="","",'Carga diaria'!$B$3)</x:f>
      </x:c>
      <x:c r="B4" s="13" t="str">
        <x:v>1er Turno</x:v>
      </x:c>
      <x:c r="C4" s="13" t="str">
        <x:v>06:00 am</x:v>
      </x:c>
      <x:c r="D4" s="13" t="str">
        <x:f>IF('Carga diaria'!F8="","",'Carga diaria'!$E$3)</x:f>
      </x:c>
      <x:c r="E4" s="13" t="str">
        <x:v>Agua cruda</x:v>
      </x:c>
      <x:c r="F4" s="13" t="str">
        <x:v>Pozo #2</x:v>
      </x:c>
      <x:c r="G4" s="13" t="str">
        <x:v>Caudal (l/s)</x:v>
      </x:c>
      <x:c r="H4" s="13" t="str">
        <x:v>—</x:v>
      </x:c>
      <x:c r="I4" s="13" t="str">
        <x:v>l/s</x:v>
      </x:c>
      <x:c r="J4" s="13" t="str">
        <x:f>IF('Carga diaria'!F8="","",'Carga diaria'!F8)</x:f>
      </x:c>
      <x:c r="K4" s="13" t="str">
        <x:f>IF('Carga diaria'!F8="","",'Carga diaria'!F8)</x:f>
      </x:c>
      <x:c r="L4" s="13"/>
      <x:c r="M4" s="13" t="str">
        <x:f>IF('Carga diaria'!F8="","",'Carga diaria'!G8)</x:f>
      </x:c>
      <x:c r="N4" s="13" t="str">
        <x:v>Carga diaria operador</x:v>
      </x:c>
      <x:c r="O4" s="13" t="str">
        <x:v>ptab_02</x:v>
      </x:c>
    </x:row>
    <x:row r="5">
      <x:c r="A5" s="14" t="str">
        <x:f>IF('Carga diaria'!H8="","",'Carga diaria'!$B$3)</x:f>
      </x:c>
      <x:c r="B5" s="13" t="str">
        <x:v>2do Turno</x:v>
      </x:c>
      <x:c r="C5" s="13" t="str">
        <x:v>06:00 pm</x:v>
      </x:c>
      <x:c r="D5" s="13" t="str">
        <x:f>IF('Carga diaria'!H8="","",'Carga diaria'!$H$3)</x:f>
      </x:c>
      <x:c r="E5" s="13" t="str">
        <x:v>Agua cruda</x:v>
      </x:c>
      <x:c r="F5" s="13" t="str">
        <x:v>Pozo #2</x:v>
      </x:c>
      <x:c r="G5" s="13" t="str">
        <x:v>Caudal (l/s)</x:v>
      </x:c>
      <x:c r="H5" s="13" t="str">
        <x:v>—</x:v>
      </x:c>
      <x:c r="I5" s="13" t="str">
        <x:v>l/s</x:v>
      </x:c>
      <x:c r="J5" s="13" t="str">
        <x:f>IF('Carga diaria'!H8="","",'Carga diaria'!H8)</x:f>
      </x:c>
      <x:c r="K5" s="13" t="str">
        <x:f>IF('Carga diaria'!H8="","",'Carga diaria'!H8)</x:f>
      </x:c>
      <x:c r="L5" s="13"/>
      <x:c r="M5" s="13" t="str">
        <x:f>IF('Carga diaria'!H8="","",'Carga diaria'!I8)</x:f>
      </x:c>
      <x:c r="N5" s="13" t="str">
        <x:v>Carga diaria operador</x:v>
      </x:c>
      <x:c r="O5" s="13" t="str">
        <x:v>ptab_02</x:v>
      </x:c>
    </x:row>
    <x:row r="6">
      <x:c r="A6" s="14" t="str">
        <x:f>IF('Carga diaria'!F9="","",'Carga diaria'!$B$3)</x:f>
      </x:c>
      <x:c r="B6" s="13" t="str">
        <x:v>1er Turno</x:v>
      </x:c>
      <x:c r="C6" s="13" t="str">
        <x:v>06:00 am</x:v>
      </x:c>
      <x:c r="D6" s="13" t="str">
        <x:f>IF('Carga diaria'!F9="","",'Carga diaria'!$E$3)</x:f>
      </x:c>
      <x:c r="E6" s="13" t="str">
        <x:v>Agua cruda</x:v>
      </x:c>
      <x:c r="F6" s="13" t="str">
        <x:v>Pozo #2</x:v>
      </x:c>
      <x:c r="G6" s="13" t="str">
        <x:v>Turbidez (NTU)</x:v>
      </x:c>
      <x:c r="H6" s="13" t="str">
        <x:v>&lt; 10 N.T.U.</x:v>
      </x:c>
      <x:c r="I6" s="13" t="str">
        <x:v>NTU</x:v>
      </x:c>
      <x:c r="J6" s="13" t="str">
        <x:f>IF('Carga diaria'!F9="","",'Carga diaria'!F9)</x:f>
      </x:c>
      <x:c r="K6" s="13" t="str">
        <x:f>IF('Carga diaria'!F9="","",'Carga diaria'!F9)</x:f>
      </x:c>
      <x:c r="L6" s="13"/>
      <x:c r="M6" s="13" t="str">
        <x:f>IF('Carga diaria'!F9="","",'Carga diaria'!G9)</x:f>
      </x:c>
      <x:c r="N6" s="13" t="str">
        <x:v>Carga diaria operador</x:v>
      </x:c>
      <x:c r="O6" s="13" t="str">
        <x:v>ptab_03</x:v>
      </x:c>
    </x:row>
    <x:row r="7">
      <x:c r="A7" s="14" t="str">
        <x:f>IF('Carga diaria'!H9="","",'Carga diaria'!$B$3)</x:f>
      </x:c>
      <x:c r="B7" s="13" t="str">
        <x:v>2do Turno</x:v>
      </x:c>
      <x:c r="C7" s="13" t="str">
        <x:v>06:00 pm</x:v>
      </x:c>
      <x:c r="D7" s="13" t="str">
        <x:f>IF('Carga diaria'!H9="","",'Carga diaria'!$H$3)</x:f>
      </x:c>
      <x:c r="E7" s="13" t="str">
        <x:v>Agua cruda</x:v>
      </x:c>
      <x:c r="F7" s="13" t="str">
        <x:v>Pozo #2</x:v>
      </x:c>
      <x:c r="G7" s="13" t="str">
        <x:v>Turbidez (NTU)</x:v>
      </x:c>
      <x:c r="H7" s="13" t="str">
        <x:v>&lt; 10 N.T.U.</x:v>
      </x:c>
      <x:c r="I7" s="13" t="str">
        <x:v>NTU</x:v>
      </x:c>
      <x:c r="J7" s="13" t="str">
        <x:f>IF('Carga diaria'!H9="","",'Carga diaria'!H9)</x:f>
      </x:c>
      <x:c r="K7" s="13" t="str">
        <x:f>IF('Carga diaria'!H9="","",'Carga diaria'!H9)</x:f>
      </x:c>
      <x:c r="L7" s="13"/>
      <x:c r="M7" s="13" t="str">
        <x:f>IF('Carga diaria'!H9="","",'Carga diaria'!I9)</x:f>
      </x:c>
      <x:c r="N7" s="13" t="str">
        <x:v>Carga diaria operador</x:v>
      </x:c>
      <x:c r="O7" s="13" t="str">
        <x:v>ptab_03</x:v>
      </x:c>
    </x:row>
    <x:row r="8">
      <x:c r="A8" s="14" t="str">
        <x:f>IF('Carga diaria'!F10="","",'Carga diaria'!$B$3)</x:f>
      </x:c>
      <x:c r="B8" s="13" t="str">
        <x:v>1er Turno</x:v>
      </x:c>
      <x:c r="C8" s="13" t="str">
        <x:v>06:00 am</x:v>
      </x:c>
      <x:c r="D8" s="13" t="str">
        <x:f>IF('Carga diaria'!F10="","",'Carga diaria'!$E$3)</x:f>
      </x:c>
      <x:c r="E8" s="13" t="str">
        <x:v>Agua cruda</x:v>
      </x:c>
      <x:c r="F8" s="13" t="str">
        <x:v>Pozo #2</x:v>
      </x:c>
      <x:c r="G8" s="13" t="str">
        <x:v>pH (Adim)</x:v>
      </x:c>
      <x:c r="H8" s="13" t="str">
        <x:v>6,5 - 8,5</x:v>
      </x:c>
      <x:c r="I8" s="13" t="str"/>
      <x:c r="J8" s="13" t="str">
        <x:f>IF('Carga diaria'!F10="","",'Carga diaria'!F10)</x:f>
      </x:c>
      <x:c r="K8" s="13" t="str">
        <x:f>IF('Carga diaria'!F10="","",'Carga diaria'!F10)</x:f>
      </x:c>
      <x:c r="L8" s="13"/>
      <x:c r="M8" s="13" t="str">
        <x:f>IF('Carga diaria'!F10="","",'Carga diaria'!G10)</x:f>
      </x:c>
      <x:c r="N8" s="13" t="str">
        <x:v>Carga diaria operador</x:v>
      </x:c>
      <x:c r="O8" s="13" t="str">
        <x:v>ptab_04</x:v>
      </x:c>
    </x:row>
    <x:row r="9">
      <x:c r="A9" s="14" t="str">
        <x:f>IF('Carga diaria'!H10="","",'Carga diaria'!$B$3)</x:f>
      </x:c>
      <x:c r="B9" s="13" t="str">
        <x:v>2do Turno</x:v>
      </x:c>
      <x:c r="C9" s="13" t="str">
        <x:v>06:00 pm</x:v>
      </x:c>
      <x:c r="D9" s="13" t="str">
        <x:f>IF('Carga diaria'!H10="","",'Carga diaria'!$H$3)</x:f>
      </x:c>
      <x:c r="E9" s="13" t="str">
        <x:v>Agua cruda</x:v>
      </x:c>
      <x:c r="F9" s="13" t="str">
        <x:v>Pozo #2</x:v>
      </x:c>
      <x:c r="G9" s="13" t="str">
        <x:v>pH (Adim)</x:v>
      </x:c>
      <x:c r="H9" s="13" t="str">
        <x:v>6,5 - 8,5</x:v>
      </x:c>
      <x:c r="I9" s="13" t="str"/>
      <x:c r="J9" s="13" t="str">
        <x:f>IF('Carga diaria'!H10="","",'Carga diaria'!H10)</x:f>
      </x:c>
      <x:c r="K9" s="13" t="str">
        <x:f>IF('Carga diaria'!H10="","",'Carga diaria'!H10)</x:f>
      </x:c>
      <x:c r="L9" s="13"/>
      <x:c r="M9" s="13" t="str">
        <x:f>IF('Carga diaria'!H10="","",'Carga diaria'!I10)</x:f>
      </x:c>
      <x:c r="N9" s="13" t="str">
        <x:v>Carga diaria operador</x:v>
      </x:c>
      <x:c r="O9" s="13" t="str">
        <x:v>ptab_04</x:v>
      </x:c>
    </x:row>
    <x:row r="10">
      <x:c r="A10" s="14" t="str">
        <x:f>IF('Carga diaria'!F11="","",'Carga diaria'!$B$3)</x:f>
      </x:c>
      <x:c r="B10" s="13" t="str">
        <x:v>1er Turno</x:v>
      </x:c>
      <x:c r="C10" s="13" t="str">
        <x:v>06:00 am</x:v>
      </x:c>
      <x:c r="D10" s="13" t="str">
        <x:f>IF('Carga diaria'!F11="","",'Carga diaria'!$E$3)</x:f>
      </x:c>
      <x:c r="E10" s="13" t="str">
        <x:v>Agua cruda</x:v>
      </x:c>
      <x:c r="F10" s="13" t="str">
        <x:v>Pozo #2</x:v>
      </x:c>
      <x:c r="G10" s="13" t="str">
        <x:v>Nivel Dinámico</x:v>
      </x:c>
      <x:c r="H10" s="13" t="str">
        <x:v>—</x:v>
      </x:c>
      <x:c r="I10" s="13" t="str"/>
      <x:c r="J10" s="13" t="str">
        <x:f>IF('Carga diaria'!F11="","",'Carga diaria'!F11)</x:f>
      </x:c>
      <x:c r="K10" s="13" t="str">
        <x:f>IF('Carga diaria'!F11="","",'Carga diaria'!F11)</x:f>
      </x:c>
      <x:c r="L10" s="13"/>
      <x:c r="M10" s="13" t="str">
        <x:f>IF('Carga diaria'!F11="","",'Carga diaria'!G11)</x:f>
      </x:c>
      <x:c r="N10" s="13" t="str">
        <x:v>Carga diaria operador</x:v>
      </x:c>
      <x:c r="O10" s="13" t="str">
        <x:v>ptab_05</x:v>
      </x:c>
    </x:row>
    <x:row r="11">
      <x:c r="A11" s="14" t="str">
        <x:f>IF('Carga diaria'!H11="","",'Carga diaria'!$B$3)</x:f>
      </x:c>
      <x:c r="B11" s="13" t="str">
        <x:v>2do Turno</x:v>
      </x:c>
      <x:c r="C11" s="13" t="str">
        <x:v>06:00 pm</x:v>
      </x:c>
      <x:c r="D11" s="13" t="str">
        <x:f>IF('Carga diaria'!H11="","",'Carga diaria'!$H$3)</x:f>
      </x:c>
      <x:c r="E11" s="13" t="str">
        <x:v>Agua cruda</x:v>
      </x:c>
      <x:c r="F11" s="13" t="str">
        <x:v>Pozo #2</x:v>
      </x:c>
      <x:c r="G11" s="13" t="str">
        <x:v>Nivel Dinámico</x:v>
      </x:c>
      <x:c r="H11" s="13" t="str">
        <x:v>—</x:v>
      </x:c>
      <x:c r="I11" s="13" t="str"/>
      <x:c r="J11" s="13" t="str">
        <x:f>IF('Carga diaria'!H11="","",'Carga diaria'!H11)</x:f>
      </x:c>
      <x:c r="K11" s="13" t="str">
        <x:f>IF('Carga diaria'!H11="","",'Carga diaria'!H11)</x:f>
      </x:c>
      <x:c r="L11" s="13"/>
      <x:c r="M11" s="13" t="str">
        <x:f>IF('Carga diaria'!H11="","",'Carga diaria'!I11)</x:f>
      </x:c>
      <x:c r="N11" s="13" t="str">
        <x:v>Carga diaria operador</x:v>
      </x:c>
      <x:c r="O11" s="13" t="str">
        <x:v>ptab_05</x:v>
      </x:c>
    </x:row>
    <x:row r="12">
      <x:c r="A12" s="14" t="str">
        <x:f>IF('Carga diaria'!F12="","",'Carga diaria'!$B$3)</x:f>
      </x:c>
      <x:c r="B12" s="13" t="str">
        <x:v>1er Turno</x:v>
      </x:c>
      <x:c r="C12" s="13" t="str">
        <x:v>06:00 am</x:v>
      </x:c>
      <x:c r="D12" s="13" t="str">
        <x:f>IF('Carga diaria'!F12="","",'Carga diaria'!$E$3)</x:f>
      </x:c>
      <x:c r="E12" s="13" t="str">
        <x:v>Agua cruda</x:v>
      </x:c>
      <x:c r="F12" s="13" t="str">
        <x:v>Pozo #2</x:v>
      </x:c>
      <x:c r="G12" s="13" t="str">
        <x:v>Nivel Estático</x:v>
      </x:c>
      <x:c r="H12" s="13" t="str">
        <x:v>68 mts</x:v>
      </x:c>
      <x:c r="I12" s="13" t="str">
        <x:v>mts</x:v>
      </x:c>
      <x:c r="J12" s="13" t="str">
        <x:f>IF('Carga diaria'!F12="","",'Carga diaria'!F12)</x:f>
      </x:c>
      <x:c r="K12" s="13" t="str">
        <x:f>IF('Carga diaria'!F12="","",'Carga diaria'!F12)</x:f>
      </x:c>
      <x:c r="L12" s="13"/>
      <x:c r="M12" s="13" t="str">
        <x:f>IF('Carga diaria'!F12="","",'Carga diaria'!G12)</x:f>
      </x:c>
      <x:c r="N12" s="13" t="str">
        <x:v>Carga diaria operador</x:v>
      </x:c>
      <x:c r="O12" s="13" t="str">
        <x:v>ptab_06</x:v>
      </x:c>
    </x:row>
    <x:row r="13">
      <x:c r="A13" s="14" t="str">
        <x:f>IF('Carga diaria'!H12="","",'Carga diaria'!$B$3)</x:f>
      </x:c>
      <x:c r="B13" s="13" t="str">
        <x:v>2do Turno</x:v>
      </x:c>
      <x:c r="C13" s="13" t="str">
        <x:v>06:00 pm</x:v>
      </x:c>
      <x:c r="D13" s="13" t="str">
        <x:f>IF('Carga diaria'!H12="","",'Carga diaria'!$H$3)</x:f>
      </x:c>
      <x:c r="E13" s="13" t="str">
        <x:v>Agua cruda</x:v>
      </x:c>
      <x:c r="F13" s="13" t="str">
        <x:v>Pozo #2</x:v>
      </x:c>
      <x:c r="G13" s="13" t="str">
        <x:v>Nivel Estático</x:v>
      </x:c>
      <x:c r="H13" s="13" t="str">
        <x:v>68 mts</x:v>
      </x:c>
      <x:c r="I13" s="13" t="str">
        <x:v>mts</x:v>
      </x:c>
      <x:c r="J13" s="13" t="str">
        <x:f>IF('Carga diaria'!H12="","",'Carga diaria'!H12)</x:f>
      </x:c>
      <x:c r="K13" s="13" t="str">
        <x:f>IF('Carga diaria'!H12="","",'Carga diaria'!H12)</x:f>
      </x:c>
      <x:c r="L13" s="13"/>
      <x:c r="M13" s="13" t="str">
        <x:f>IF('Carga diaria'!H12="","",'Carga diaria'!I12)</x:f>
      </x:c>
      <x:c r="N13" s="13" t="str">
        <x:v>Carga diaria operador</x:v>
      </x:c>
      <x:c r="O13" s="13" t="str">
        <x:v>ptab_06</x:v>
      </x:c>
    </x:row>
    <x:row r="14">
      <x:c r="A14" s="14" t="str">
        <x:f>IF('Carga diaria'!F13="","",'Carga diaria'!$B$3)</x:f>
      </x:c>
      <x:c r="B14" s="13" t="str">
        <x:v>1er Turno</x:v>
      </x:c>
      <x:c r="C14" s="13" t="str">
        <x:v>06:00 am</x:v>
      </x:c>
      <x:c r="D14" s="13" t="str">
        <x:f>IF('Carga diaria'!F13="","",'Carga diaria'!$E$3)</x:f>
      </x:c>
      <x:c r="E14" s="13" t="str">
        <x:v>Agua cruda</x:v>
      </x:c>
      <x:c r="F14" s="13" t="str">
        <x:v>Pozo #3</x:v>
      </x:c>
      <x:c r="G14" s="13" t="str">
        <x:v>Presión (psi)</x:v>
      </x:c>
      <x:c r="H14" s="13" t="str">
        <x:v>—</x:v>
      </x:c>
      <x:c r="I14" s="13" t="str">
        <x:v>psi</x:v>
      </x:c>
      <x:c r="J14" s="13" t="str">
        <x:f>IF('Carga diaria'!F13="","",'Carga diaria'!F13)</x:f>
      </x:c>
      <x:c r="K14" s="13" t="str">
        <x:f>IF('Carga diaria'!F13="","",'Carga diaria'!F13)</x:f>
      </x:c>
      <x:c r="L14" s="13"/>
      <x:c r="M14" s="13" t="str">
        <x:f>IF('Carga diaria'!F13="","",'Carga diaria'!G13)</x:f>
      </x:c>
      <x:c r="N14" s="13" t="str">
        <x:v>Carga diaria operador</x:v>
      </x:c>
      <x:c r="O14" s="13" t="str">
        <x:v>ptab_07</x:v>
      </x:c>
    </x:row>
    <x:row r="15">
      <x:c r="A15" s="14" t="str">
        <x:f>IF('Carga diaria'!H13="","",'Carga diaria'!$B$3)</x:f>
      </x:c>
      <x:c r="B15" s="13" t="str">
        <x:v>2do Turno</x:v>
      </x:c>
      <x:c r="C15" s="13" t="str">
        <x:v>06:00 pm</x:v>
      </x:c>
      <x:c r="D15" s="13" t="str">
        <x:f>IF('Carga diaria'!H13="","",'Carga diaria'!$H$3)</x:f>
      </x:c>
      <x:c r="E15" s="13" t="str">
        <x:v>Agua cruda</x:v>
      </x:c>
      <x:c r="F15" s="13" t="str">
        <x:v>Pozo #3</x:v>
      </x:c>
      <x:c r="G15" s="13" t="str">
        <x:v>Presión (psi)</x:v>
      </x:c>
      <x:c r="H15" s="13" t="str">
        <x:v>—</x:v>
      </x:c>
      <x:c r="I15" s="13" t="str">
        <x:v>psi</x:v>
      </x:c>
      <x:c r="J15" s="13" t="str">
        <x:f>IF('Carga diaria'!H13="","",'Carga diaria'!H13)</x:f>
      </x:c>
      <x:c r="K15" s="13" t="str">
        <x:f>IF('Carga diaria'!H13="","",'Carga diaria'!H13)</x:f>
      </x:c>
      <x:c r="L15" s="13"/>
      <x:c r="M15" s="13" t="str">
        <x:f>IF('Carga diaria'!H13="","",'Carga diaria'!I13)</x:f>
      </x:c>
      <x:c r="N15" s="13" t="str">
        <x:v>Carga diaria operador</x:v>
      </x:c>
      <x:c r="O15" s="13" t="str">
        <x:v>ptab_07</x:v>
      </x:c>
    </x:row>
    <x:row r="16">
      <x:c r="A16" s="14" t="str">
        <x:f>IF('Carga diaria'!F14="","",'Carga diaria'!$B$3)</x:f>
      </x:c>
      <x:c r="B16" s="13" t="str">
        <x:v>1er Turno</x:v>
      </x:c>
      <x:c r="C16" s="13" t="str">
        <x:v>06:00 am</x:v>
      </x:c>
      <x:c r="D16" s="13" t="str">
        <x:f>IF('Carga diaria'!F14="","",'Carga diaria'!$E$3)</x:f>
      </x:c>
      <x:c r="E16" s="13" t="str">
        <x:v>Agua cruda</x:v>
      </x:c>
      <x:c r="F16" s="13" t="str">
        <x:v>Pozo #3</x:v>
      </x:c>
      <x:c r="G16" s="13" t="str">
        <x:v>Caudal (l/s)</x:v>
      </x:c>
      <x:c r="H16" s="13" t="str">
        <x:v>—</x:v>
      </x:c>
      <x:c r="I16" s="13" t="str">
        <x:v>l/s</x:v>
      </x:c>
      <x:c r="J16" s="13" t="str">
        <x:f>IF('Carga diaria'!F14="","",'Carga diaria'!F14)</x:f>
      </x:c>
      <x:c r="K16" s="13" t="str">
        <x:f>IF('Carga diaria'!F14="","",'Carga diaria'!F14)</x:f>
      </x:c>
      <x:c r="L16" s="13"/>
      <x:c r="M16" s="13" t="str">
        <x:f>IF('Carga diaria'!F14="","",'Carga diaria'!G14)</x:f>
      </x:c>
      <x:c r="N16" s="13" t="str">
        <x:v>Carga diaria operador</x:v>
      </x:c>
      <x:c r="O16" s="13" t="str">
        <x:v>ptab_08</x:v>
      </x:c>
    </x:row>
    <x:row r="17">
      <x:c r="A17" s="14" t="str">
        <x:f>IF('Carga diaria'!H14="","",'Carga diaria'!$B$3)</x:f>
      </x:c>
      <x:c r="B17" s="13" t="str">
        <x:v>2do Turno</x:v>
      </x:c>
      <x:c r="C17" s="13" t="str">
        <x:v>06:00 pm</x:v>
      </x:c>
      <x:c r="D17" s="13" t="str">
        <x:f>IF('Carga diaria'!H14="","",'Carga diaria'!$H$3)</x:f>
      </x:c>
      <x:c r="E17" s="13" t="str">
        <x:v>Agua cruda</x:v>
      </x:c>
      <x:c r="F17" s="13" t="str">
        <x:v>Pozo #3</x:v>
      </x:c>
      <x:c r="G17" s="13" t="str">
        <x:v>Caudal (l/s)</x:v>
      </x:c>
      <x:c r="H17" s="13" t="str">
        <x:v>—</x:v>
      </x:c>
      <x:c r="I17" s="13" t="str">
        <x:v>l/s</x:v>
      </x:c>
      <x:c r="J17" s="13" t="str">
        <x:f>IF('Carga diaria'!H14="","",'Carga diaria'!H14)</x:f>
      </x:c>
      <x:c r="K17" s="13" t="str">
        <x:f>IF('Carga diaria'!H14="","",'Carga diaria'!H14)</x:f>
      </x:c>
      <x:c r="L17" s="13"/>
      <x:c r="M17" s="13" t="str">
        <x:f>IF('Carga diaria'!H14="","",'Carga diaria'!I14)</x:f>
      </x:c>
      <x:c r="N17" s="13" t="str">
        <x:v>Carga diaria operador</x:v>
      </x:c>
      <x:c r="O17" s="13" t="str">
        <x:v>ptab_08</x:v>
      </x:c>
    </x:row>
    <x:row r="18">
      <x:c r="A18" s="14" t="str">
        <x:f>IF('Carga diaria'!F15="","",'Carga diaria'!$B$3)</x:f>
      </x:c>
      <x:c r="B18" s="13" t="str">
        <x:v>1er Turno</x:v>
      </x:c>
      <x:c r="C18" s="13" t="str">
        <x:v>06:00 am</x:v>
      </x:c>
      <x:c r="D18" s="13" t="str">
        <x:f>IF('Carga diaria'!F15="","",'Carga diaria'!$E$3)</x:f>
      </x:c>
      <x:c r="E18" s="13" t="str">
        <x:v>Agua cruda</x:v>
      </x:c>
      <x:c r="F18" s="13" t="str">
        <x:v>Pozo #3</x:v>
      </x:c>
      <x:c r="G18" s="13" t="str">
        <x:v>Turbidez (NTU)</x:v>
      </x:c>
      <x:c r="H18" s="13" t="str">
        <x:v>&lt; 10 N.T.U.</x:v>
      </x:c>
      <x:c r="I18" s="13" t="str">
        <x:v>NTU</x:v>
      </x:c>
      <x:c r="J18" s="13" t="str">
        <x:f>IF('Carga diaria'!F15="","",'Carga diaria'!F15)</x:f>
      </x:c>
      <x:c r="K18" s="13" t="str">
        <x:f>IF('Carga diaria'!F15="","",'Carga diaria'!F15)</x:f>
      </x:c>
      <x:c r="L18" s="13"/>
      <x:c r="M18" s="13" t="str">
        <x:f>IF('Carga diaria'!F15="","",'Carga diaria'!G15)</x:f>
      </x:c>
      <x:c r="N18" s="13" t="str">
        <x:v>Carga diaria operador</x:v>
      </x:c>
      <x:c r="O18" s="13" t="str">
        <x:v>ptab_09</x:v>
      </x:c>
    </x:row>
    <x:row r="19">
      <x:c r="A19" s="14" t="str">
        <x:f>IF('Carga diaria'!H15="","",'Carga diaria'!$B$3)</x:f>
      </x:c>
      <x:c r="B19" s="13" t="str">
        <x:v>2do Turno</x:v>
      </x:c>
      <x:c r="C19" s="13" t="str">
        <x:v>06:00 pm</x:v>
      </x:c>
      <x:c r="D19" s="13" t="str">
        <x:f>IF('Carga diaria'!H15="","",'Carga diaria'!$H$3)</x:f>
      </x:c>
      <x:c r="E19" s="13" t="str">
        <x:v>Agua cruda</x:v>
      </x:c>
      <x:c r="F19" s="13" t="str">
        <x:v>Pozo #3</x:v>
      </x:c>
      <x:c r="G19" s="13" t="str">
        <x:v>Turbidez (NTU)</x:v>
      </x:c>
      <x:c r="H19" s="13" t="str">
        <x:v>&lt; 10 N.T.U.</x:v>
      </x:c>
      <x:c r="I19" s="13" t="str">
        <x:v>NTU</x:v>
      </x:c>
      <x:c r="J19" s="13" t="str">
        <x:f>IF('Carga diaria'!H15="","",'Carga diaria'!H15)</x:f>
      </x:c>
      <x:c r="K19" s="13" t="str">
        <x:f>IF('Carga diaria'!H15="","",'Carga diaria'!H15)</x:f>
      </x:c>
      <x:c r="L19" s="13"/>
      <x:c r="M19" s="13" t="str">
        <x:f>IF('Carga diaria'!H15="","",'Carga diaria'!I15)</x:f>
      </x:c>
      <x:c r="N19" s="13" t="str">
        <x:v>Carga diaria operador</x:v>
      </x:c>
      <x:c r="O19" s="13" t="str">
        <x:v>ptab_09</x:v>
      </x:c>
    </x:row>
    <x:row r="20">
      <x:c r="A20" s="14" t="str">
        <x:f>IF('Carga diaria'!F16="","",'Carga diaria'!$B$3)</x:f>
      </x:c>
      <x:c r="B20" s="13" t="str">
        <x:v>1er Turno</x:v>
      </x:c>
      <x:c r="C20" s="13" t="str">
        <x:v>06:00 am</x:v>
      </x:c>
      <x:c r="D20" s="13" t="str">
        <x:f>IF('Carga diaria'!F16="","",'Carga diaria'!$E$3)</x:f>
      </x:c>
      <x:c r="E20" s="13" t="str">
        <x:v>Agua cruda</x:v>
      </x:c>
      <x:c r="F20" s="13" t="str">
        <x:v>Pozo #3</x:v>
      </x:c>
      <x:c r="G20" s="13" t="str">
        <x:v>pH (Adim)</x:v>
      </x:c>
      <x:c r="H20" s="13" t="str">
        <x:v>6,5 - 8,5</x:v>
      </x:c>
      <x:c r="I20" s="13" t="str"/>
      <x:c r="J20" s="13" t="str">
        <x:f>IF('Carga diaria'!F16="","",'Carga diaria'!F16)</x:f>
      </x:c>
      <x:c r="K20" s="13" t="str">
        <x:f>IF('Carga diaria'!F16="","",'Carga diaria'!F16)</x:f>
      </x:c>
      <x:c r="L20" s="13"/>
      <x:c r="M20" s="13" t="str">
        <x:f>IF('Carga diaria'!F16="","",'Carga diaria'!G16)</x:f>
      </x:c>
      <x:c r="N20" s="13" t="str">
        <x:v>Carga diaria operador</x:v>
      </x:c>
      <x:c r="O20" s="13" t="str">
        <x:v>ptab_10</x:v>
      </x:c>
    </x:row>
    <x:row r="21">
      <x:c r="A21" s="14" t="str">
        <x:f>IF('Carga diaria'!H16="","",'Carga diaria'!$B$3)</x:f>
      </x:c>
      <x:c r="B21" s="13" t="str">
        <x:v>2do Turno</x:v>
      </x:c>
      <x:c r="C21" s="13" t="str">
        <x:v>06:00 pm</x:v>
      </x:c>
      <x:c r="D21" s="13" t="str">
        <x:f>IF('Carga diaria'!H16="","",'Carga diaria'!$H$3)</x:f>
      </x:c>
      <x:c r="E21" s="13" t="str">
        <x:v>Agua cruda</x:v>
      </x:c>
      <x:c r="F21" s="13" t="str">
        <x:v>Pozo #3</x:v>
      </x:c>
      <x:c r="G21" s="13" t="str">
        <x:v>pH (Adim)</x:v>
      </x:c>
      <x:c r="H21" s="13" t="str">
        <x:v>6,5 - 8,5</x:v>
      </x:c>
      <x:c r="I21" s="13" t="str"/>
      <x:c r="J21" s="13" t="str">
        <x:f>IF('Carga diaria'!H16="","",'Carga diaria'!H16)</x:f>
      </x:c>
      <x:c r="K21" s="13" t="str">
        <x:f>IF('Carga diaria'!H16="","",'Carga diaria'!H16)</x:f>
      </x:c>
      <x:c r="L21" s="13"/>
      <x:c r="M21" s="13" t="str">
        <x:f>IF('Carga diaria'!H16="","",'Carga diaria'!I16)</x:f>
      </x:c>
      <x:c r="N21" s="13" t="str">
        <x:v>Carga diaria operador</x:v>
      </x:c>
      <x:c r="O21" s="13" t="str">
        <x:v>ptab_10</x:v>
      </x:c>
    </x:row>
    <x:row r="22">
      <x:c r="A22" s="14" t="str">
        <x:f>IF('Carga diaria'!F17="","",'Carga diaria'!$B$3)</x:f>
      </x:c>
      <x:c r="B22" s="13" t="str">
        <x:v>1er Turno</x:v>
      </x:c>
      <x:c r="C22" s="13" t="str">
        <x:v>06:00 am</x:v>
      </x:c>
      <x:c r="D22" s="13" t="str">
        <x:f>IF('Carga diaria'!F17="","",'Carga diaria'!$E$3)</x:f>
      </x:c>
      <x:c r="E22" s="13" t="str">
        <x:v>Agua cruda</x:v>
      </x:c>
      <x:c r="F22" s="13" t="str">
        <x:v>Pozo #3</x:v>
      </x:c>
      <x:c r="G22" s="13" t="str">
        <x:v>Nivel Dinámico</x:v>
      </x:c>
      <x:c r="H22" s="13" t="str">
        <x:v>—</x:v>
      </x:c>
      <x:c r="I22" s="13" t="str"/>
      <x:c r="J22" s="13" t="str">
        <x:f>IF('Carga diaria'!F17="","",'Carga diaria'!F17)</x:f>
      </x:c>
      <x:c r="K22" s="13" t="str">
        <x:f>IF('Carga diaria'!F17="","",'Carga diaria'!F17)</x:f>
      </x:c>
      <x:c r="L22" s="13"/>
      <x:c r="M22" s="13" t="str">
        <x:f>IF('Carga diaria'!F17="","",'Carga diaria'!G17)</x:f>
      </x:c>
      <x:c r="N22" s="13" t="str">
        <x:v>Carga diaria operador</x:v>
      </x:c>
      <x:c r="O22" s="13" t="str">
        <x:v>ptab_11</x:v>
      </x:c>
    </x:row>
    <x:row r="23">
      <x:c r="A23" s="14" t="str">
        <x:f>IF('Carga diaria'!H17="","",'Carga diaria'!$B$3)</x:f>
      </x:c>
      <x:c r="B23" s="13" t="str">
        <x:v>2do Turno</x:v>
      </x:c>
      <x:c r="C23" s="13" t="str">
        <x:v>06:00 pm</x:v>
      </x:c>
      <x:c r="D23" s="13" t="str">
        <x:f>IF('Carga diaria'!H17="","",'Carga diaria'!$H$3)</x:f>
      </x:c>
      <x:c r="E23" s="13" t="str">
        <x:v>Agua cruda</x:v>
      </x:c>
      <x:c r="F23" s="13" t="str">
        <x:v>Pozo #3</x:v>
      </x:c>
      <x:c r="G23" s="13" t="str">
        <x:v>Nivel Dinámico</x:v>
      </x:c>
      <x:c r="H23" s="13" t="str">
        <x:v>—</x:v>
      </x:c>
      <x:c r="I23" s="13" t="str"/>
      <x:c r="J23" s="13" t="str">
        <x:f>IF('Carga diaria'!H17="","",'Carga diaria'!H17)</x:f>
      </x:c>
      <x:c r="K23" s="13" t="str">
        <x:f>IF('Carga diaria'!H17="","",'Carga diaria'!H17)</x:f>
      </x:c>
      <x:c r="L23" s="13"/>
      <x:c r="M23" s="13" t="str">
        <x:f>IF('Carga diaria'!H17="","",'Carga diaria'!I17)</x:f>
      </x:c>
      <x:c r="N23" s="13" t="str">
        <x:v>Carga diaria operador</x:v>
      </x:c>
      <x:c r="O23" s="13" t="str">
        <x:v>ptab_11</x:v>
      </x:c>
    </x:row>
    <x:row r="24">
      <x:c r="A24" s="14" t="str">
        <x:f>IF('Carga diaria'!F18="","",'Carga diaria'!$B$3)</x:f>
      </x:c>
      <x:c r="B24" s="13" t="str">
        <x:v>1er Turno</x:v>
      </x:c>
      <x:c r="C24" s="13" t="str">
        <x:v>06:00 am</x:v>
      </x:c>
      <x:c r="D24" s="13" t="str">
        <x:f>IF('Carga diaria'!F18="","",'Carga diaria'!$E$3)</x:f>
      </x:c>
      <x:c r="E24" s="13" t="str">
        <x:v>Agua cruda</x:v>
      </x:c>
      <x:c r="F24" s="13" t="str">
        <x:v>Pozo #3</x:v>
      </x:c>
      <x:c r="G24" s="13" t="str">
        <x:v>Nivel Estático</x:v>
      </x:c>
      <x:c r="H24" s="13" t="str">
        <x:v>68 mts</x:v>
      </x:c>
      <x:c r="I24" s="13" t="str">
        <x:v>mts</x:v>
      </x:c>
      <x:c r="J24" s="13" t="str">
        <x:f>IF('Carga diaria'!F18="","",'Carga diaria'!F18)</x:f>
      </x:c>
      <x:c r="K24" s="13" t="str">
        <x:f>IF('Carga diaria'!F18="","",'Carga diaria'!F18)</x:f>
      </x:c>
      <x:c r="L24" s="13"/>
      <x:c r="M24" s="13" t="str">
        <x:f>IF('Carga diaria'!F18="","",'Carga diaria'!G18)</x:f>
      </x:c>
      <x:c r="N24" s="13" t="str">
        <x:v>Carga diaria operador</x:v>
      </x:c>
      <x:c r="O24" s="13" t="str">
        <x:v>ptab_12</x:v>
      </x:c>
    </x:row>
    <x:row r="25">
      <x:c r="A25" s="14" t="str">
        <x:f>IF('Carga diaria'!H18="","",'Carga diaria'!$B$3)</x:f>
      </x:c>
      <x:c r="B25" s="13" t="str">
        <x:v>2do Turno</x:v>
      </x:c>
      <x:c r="C25" s="13" t="str">
        <x:v>06:00 pm</x:v>
      </x:c>
      <x:c r="D25" s="13" t="str">
        <x:f>IF('Carga diaria'!H18="","",'Carga diaria'!$H$3)</x:f>
      </x:c>
      <x:c r="E25" s="13" t="str">
        <x:v>Agua cruda</x:v>
      </x:c>
      <x:c r="F25" s="13" t="str">
        <x:v>Pozo #3</x:v>
      </x:c>
      <x:c r="G25" s="13" t="str">
        <x:v>Nivel Estático</x:v>
      </x:c>
      <x:c r="H25" s="13" t="str">
        <x:v>68 mts</x:v>
      </x:c>
      <x:c r="I25" s="13" t="str">
        <x:v>mts</x:v>
      </x:c>
      <x:c r="J25" s="13" t="str">
        <x:f>IF('Carga diaria'!H18="","",'Carga diaria'!H18)</x:f>
      </x:c>
      <x:c r="K25" s="13" t="str">
        <x:f>IF('Carga diaria'!H18="","",'Carga diaria'!H18)</x:f>
      </x:c>
      <x:c r="L25" s="13"/>
      <x:c r="M25" s="13" t="str">
        <x:f>IF('Carga diaria'!H18="","",'Carga diaria'!I18)</x:f>
      </x:c>
      <x:c r="N25" s="13" t="str">
        <x:v>Carga diaria operador</x:v>
      </x:c>
      <x:c r="O25" s="13" t="str">
        <x:v>ptab_12</x:v>
      </x:c>
    </x:row>
    <x:row r="26">
      <x:c r="A26" s="14" t="str">
        <x:f>IF('Carga diaria'!F19="","",'Carga diaria'!$B$3)</x:f>
      </x:c>
      <x:c r="B26" s="13" t="str">
        <x:v>1er Turno</x:v>
      </x:c>
      <x:c r="C26" s="13" t="str">
        <x:v>06:00 am</x:v>
      </x:c>
      <x:c r="D26" s="13" t="str">
        <x:f>IF('Carga diaria'!F19="","",'Carga diaria'!$E$3)</x:f>
      </x:c>
      <x:c r="E26" s="13" t="str">
        <x:v>Agua cruda</x:v>
      </x:c>
      <x:c r="F26" s="13" t="str">
        <x:v>Tanque Subterráneo</x:v>
      </x:c>
      <x:c r="G26" s="13" t="str">
        <x:v>Nivel TQ (%)</x:v>
      </x:c>
      <x:c r="H26" s="13" t="str">
        <x:v>—</x:v>
      </x:c>
      <x:c r="I26" s="13" t="str">
        <x:v>%</x:v>
      </x:c>
      <x:c r="J26" s="13" t="str">
        <x:f>IF('Carga diaria'!F19="","",'Carga diaria'!F19)</x:f>
      </x:c>
      <x:c r="K26" s="13" t="str">
        <x:f>IF('Carga diaria'!F19="","",'Carga diaria'!F19)</x:f>
      </x:c>
      <x:c r="L26" s="13"/>
      <x:c r="M26" s="13" t="str">
        <x:f>IF('Carga diaria'!F19="","",'Carga diaria'!G19)</x:f>
      </x:c>
      <x:c r="N26" s="13" t="str">
        <x:v>Carga diaria operador</x:v>
      </x:c>
      <x:c r="O26" s="13" t="str">
        <x:v>ptab_13</x:v>
      </x:c>
    </x:row>
    <x:row r="27">
      <x:c r="A27" s="14" t="str">
        <x:f>IF('Carga diaria'!H19="","",'Carga diaria'!$B$3)</x:f>
      </x:c>
      <x:c r="B27" s="13" t="str">
        <x:v>2do Turno</x:v>
      </x:c>
      <x:c r="C27" s="13" t="str">
        <x:v>06:00 pm</x:v>
      </x:c>
      <x:c r="D27" s="13" t="str">
        <x:f>IF('Carga diaria'!H19="","",'Carga diaria'!$H$3)</x:f>
      </x:c>
      <x:c r="E27" s="13" t="str">
        <x:v>Agua cruda</x:v>
      </x:c>
      <x:c r="F27" s="13" t="str">
        <x:v>Tanque Subterráneo</x:v>
      </x:c>
      <x:c r="G27" s="13" t="str">
        <x:v>Nivel TQ (%)</x:v>
      </x:c>
      <x:c r="H27" s="13" t="str">
        <x:v>—</x:v>
      </x:c>
      <x:c r="I27" s="13" t="str">
        <x:v>%</x:v>
      </x:c>
      <x:c r="J27" s="13" t="str">
        <x:f>IF('Carga diaria'!H19="","",'Carga diaria'!H19)</x:f>
      </x:c>
      <x:c r="K27" s="13" t="str">
        <x:f>IF('Carga diaria'!H19="","",'Carga diaria'!H19)</x:f>
      </x:c>
      <x:c r="L27" s="13"/>
      <x:c r="M27" s="13" t="str">
        <x:f>IF('Carga diaria'!H19="","",'Carga diaria'!I19)</x:f>
      </x:c>
      <x:c r="N27" s="13" t="str">
        <x:v>Carga diaria operador</x:v>
      </x:c>
      <x:c r="O27" s="13" t="str">
        <x:v>ptab_13</x:v>
      </x:c>
    </x:row>
    <x:row r="28">
      <x:c r="A28" s="14" t="str">
        <x:f>IF('Carga diaria'!F20="","",'Carga diaria'!$B$3)</x:f>
      </x:c>
      <x:c r="B28" s="13" t="str">
        <x:v>1er Turno</x:v>
      </x:c>
      <x:c r="C28" s="13" t="str">
        <x:v>06:00 am</x:v>
      </x:c>
      <x:c r="D28" s="13" t="str">
        <x:f>IF('Carga diaria'!F20="","",'Carga diaria'!$E$3)</x:f>
      </x:c>
      <x:c r="E28" s="13" t="str">
        <x:v>Agua cruda</x:v>
      </x:c>
      <x:c r="F28" s="13" t="str">
        <x:v>Tanque Subterráneo</x:v>
      </x:c>
      <x:c r="G28" s="13" t="str">
        <x:v>pH (Adim)</x:v>
      </x:c>
      <x:c r="H28" s="13" t="str">
        <x:v>6,5 - 8,5</x:v>
      </x:c>
      <x:c r="I28" s="13" t="str"/>
      <x:c r="J28" s="13" t="str">
        <x:f>IF('Carga diaria'!F20="","",'Carga diaria'!F20)</x:f>
      </x:c>
      <x:c r="K28" s="13" t="str">
        <x:f>IF('Carga diaria'!F20="","",'Carga diaria'!F20)</x:f>
      </x:c>
      <x:c r="L28" s="13"/>
      <x:c r="M28" s="13" t="str">
        <x:f>IF('Carga diaria'!F20="","",'Carga diaria'!G20)</x:f>
      </x:c>
      <x:c r="N28" s="13" t="str">
        <x:v>Carga diaria operador</x:v>
      </x:c>
      <x:c r="O28" s="13" t="str">
        <x:v>ptab_14</x:v>
      </x:c>
    </x:row>
    <x:row r="29">
      <x:c r="A29" s="14" t="str">
        <x:f>IF('Carga diaria'!H20="","",'Carga diaria'!$B$3)</x:f>
      </x:c>
      <x:c r="B29" s="13" t="str">
        <x:v>2do Turno</x:v>
      </x:c>
      <x:c r="C29" s="13" t="str">
        <x:v>06:00 pm</x:v>
      </x:c>
      <x:c r="D29" s="13" t="str">
        <x:f>IF('Carga diaria'!H20="","",'Carga diaria'!$H$3)</x:f>
      </x:c>
      <x:c r="E29" s="13" t="str">
        <x:v>Agua cruda</x:v>
      </x:c>
      <x:c r="F29" s="13" t="str">
        <x:v>Tanque Subterráneo</x:v>
      </x:c>
      <x:c r="G29" s="13" t="str">
        <x:v>pH (Adim)</x:v>
      </x:c>
      <x:c r="H29" s="13" t="str">
        <x:v>6,5 - 8,5</x:v>
      </x:c>
      <x:c r="I29" s="13" t="str"/>
      <x:c r="J29" s="13" t="str">
        <x:f>IF('Carga diaria'!H20="","",'Carga diaria'!H20)</x:f>
      </x:c>
      <x:c r="K29" s="13" t="str">
        <x:f>IF('Carga diaria'!H20="","",'Carga diaria'!H20)</x:f>
      </x:c>
      <x:c r="L29" s="13"/>
      <x:c r="M29" s="13" t="str">
        <x:f>IF('Carga diaria'!H20="","",'Carga diaria'!I20)</x:f>
      </x:c>
      <x:c r="N29" s="13" t="str">
        <x:v>Carga diaria operador</x:v>
      </x:c>
      <x:c r="O29" s="13" t="str">
        <x:v>ptab_14</x:v>
      </x:c>
    </x:row>
    <x:row r="30">
      <x:c r="A30" s="14" t="str">
        <x:f>IF('Carga diaria'!F21="","",'Carga diaria'!$B$3)</x:f>
      </x:c>
      <x:c r="B30" s="13" t="str">
        <x:v>1er Turno</x:v>
      </x:c>
      <x:c r="C30" s="13" t="str">
        <x:v>06:00 am</x:v>
      </x:c>
      <x:c r="D30" s="13" t="str">
        <x:f>IF('Carga diaria'!F21="","",'Carga diaria'!$E$3)</x:f>
      </x:c>
      <x:c r="E30" s="13" t="str">
        <x:v>Agua cruda</x:v>
      </x:c>
      <x:c r="F30" s="13" t="str">
        <x:v>Tanque Subterráneo</x:v>
      </x:c>
      <x:c r="G30" s="13" t="str">
        <x:v>TDS (mg/l)</x:v>
      </x:c>
      <x:c r="H30" s="13" t="str">
        <x:v>—</x:v>
      </x:c>
      <x:c r="I30" s="13" t="str">
        <x:v>mg/L</x:v>
      </x:c>
      <x:c r="J30" s="13" t="str">
        <x:f>IF('Carga diaria'!F21="","",'Carga diaria'!F21)</x:f>
      </x:c>
      <x:c r="K30" s="13" t="str">
        <x:f>IF('Carga diaria'!F21="","",'Carga diaria'!F21)</x:f>
      </x:c>
      <x:c r="L30" s="13"/>
      <x:c r="M30" s="13" t="str">
        <x:f>IF('Carga diaria'!F21="","",'Carga diaria'!G21)</x:f>
      </x:c>
      <x:c r="N30" s="13" t="str">
        <x:v>Carga diaria operador</x:v>
      </x:c>
      <x:c r="O30" s="13" t="str">
        <x:v>ptab_15</x:v>
      </x:c>
    </x:row>
    <x:row r="31">
      <x:c r="A31" s="14" t="str">
        <x:f>IF('Carga diaria'!H21="","",'Carga diaria'!$B$3)</x:f>
      </x:c>
      <x:c r="B31" s="13" t="str">
        <x:v>2do Turno</x:v>
      </x:c>
      <x:c r="C31" s="13" t="str">
        <x:v>06:00 pm</x:v>
      </x:c>
      <x:c r="D31" s="13" t="str">
        <x:f>IF('Carga diaria'!H21="","",'Carga diaria'!$H$3)</x:f>
      </x:c>
      <x:c r="E31" s="13" t="str">
        <x:v>Agua cruda</x:v>
      </x:c>
      <x:c r="F31" s="13" t="str">
        <x:v>Tanque Subterráneo</x:v>
      </x:c>
      <x:c r="G31" s="13" t="str">
        <x:v>TDS (mg/l)</x:v>
      </x:c>
      <x:c r="H31" s="13" t="str">
        <x:v>—</x:v>
      </x:c>
      <x:c r="I31" s="13" t="str">
        <x:v>mg/L</x:v>
      </x:c>
      <x:c r="J31" s="13" t="str">
        <x:f>IF('Carga diaria'!H21="","",'Carga diaria'!H21)</x:f>
      </x:c>
      <x:c r="K31" s="13" t="str">
        <x:f>IF('Carga diaria'!H21="","",'Carga diaria'!H21)</x:f>
      </x:c>
      <x:c r="L31" s="13"/>
      <x:c r="M31" s="13" t="str">
        <x:f>IF('Carga diaria'!H21="","",'Carga diaria'!I21)</x:f>
      </x:c>
      <x:c r="N31" s="13" t="str">
        <x:v>Carga diaria operador</x:v>
      </x:c>
      <x:c r="O31" s="13" t="str">
        <x:v>ptab_15</x:v>
      </x:c>
    </x:row>
    <x:row r="32">
      <x:c r="A32" s="14" t="str">
        <x:f>IF('Carga diaria'!F22="","",'Carga diaria'!$B$3)</x:f>
      </x:c>
      <x:c r="B32" s="13" t="str">
        <x:v>1er Turno</x:v>
      </x:c>
      <x:c r="C32" s="13" t="str">
        <x:v>06:00 am</x:v>
      </x:c>
      <x:c r="D32" s="13" t="str">
        <x:f>IF('Carga diaria'!F22="","",'Carga diaria'!$E$3)</x:f>
      </x:c>
      <x:c r="E32" s="13" t="str">
        <x:v>Agua cruda</x:v>
      </x:c>
      <x:c r="F32" s="13" t="str">
        <x:v>Tanque Subterráneo</x:v>
      </x:c>
      <x:c r="G32" s="13" t="str">
        <x:v>Turbidez (NTU)</x:v>
      </x:c>
      <x:c r="H32" s="13" t="str">
        <x:v>&lt; 10 N.T.U.</x:v>
      </x:c>
      <x:c r="I32" s="13" t="str">
        <x:v>NTU</x:v>
      </x:c>
      <x:c r="J32" s="13" t="str">
        <x:f>IF('Carga diaria'!F22="","",'Carga diaria'!F22)</x:f>
      </x:c>
      <x:c r="K32" s="13" t="str">
        <x:f>IF('Carga diaria'!F22="","",'Carga diaria'!F22)</x:f>
      </x:c>
      <x:c r="L32" s="13"/>
      <x:c r="M32" s="13" t="str">
        <x:f>IF('Carga diaria'!F22="","",'Carga diaria'!G22)</x:f>
      </x:c>
      <x:c r="N32" s="13" t="str">
        <x:v>Carga diaria operador</x:v>
      </x:c>
      <x:c r="O32" s="13" t="str">
        <x:v>ptab_16</x:v>
      </x:c>
    </x:row>
    <x:row r="33">
      <x:c r="A33" s="14" t="str">
        <x:f>IF('Carga diaria'!H22="","",'Carga diaria'!$B$3)</x:f>
      </x:c>
      <x:c r="B33" s="13" t="str">
        <x:v>2do Turno</x:v>
      </x:c>
      <x:c r="C33" s="13" t="str">
        <x:v>06:00 pm</x:v>
      </x:c>
      <x:c r="D33" s="13" t="str">
        <x:f>IF('Carga diaria'!H22="","",'Carga diaria'!$H$3)</x:f>
      </x:c>
      <x:c r="E33" s="13" t="str">
        <x:v>Agua cruda</x:v>
      </x:c>
      <x:c r="F33" s="13" t="str">
        <x:v>Tanque Subterráneo</x:v>
      </x:c>
      <x:c r="G33" s="13" t="str">
        <x:v>Turbidez (NTU)</x:v>
      </x:c>
      <x:c r="H33" s="13" t="str">
        <x:v>&lt; 10 N.T.U.</x:v>
      </x:c>
      <x:c r="I33" s="13" t="str">
        <x:v>NTU</x:v>
      </x:c>
      <x:c r="J33" s="13" t="str">
        <x:f>IF('Carga diaria'!H22="","",'Carga diaria'!H22)</x:f>
      </x:c>
      <x:c r="K33" s="13" t="str">
        <x:f>IF('Carga diaria'!H22="","",'Carga diaria'!H22)</x:f>
      </x:c>
      <x:c r="L33" s="13"/>
      <x:c r="M33" s="13" t="str">
        <x:f>IF('Carga diaria'!H22="","",'Carga diaria'!I22)</x:f>
      </x:c>
      <x:c r="N33" s="13" t="str">
        <x:v>Carga diaria operador</x:v>
      </x:c>
      <x:c r="O33" s="13" t="str">
        <x:v>ptab_16</x:v>
      </x:c>
    </x:row>
    <x:row r="34">
      <x:c r="A34" s="14" t="str">
        <x:f>IF('Carga diaria'!F23="","",'Carga diaria'!$B$3)</x:f>
      </x:c>
      <x:c r="B34" s="13" t="str">
        <x:v>1er Turno</x:v>
      </x:c>
      <x:c r="C34" s="13" t="str">
        <x:v>06:00 am</x:v>
      </x:c>
      <x:c r="D34" s="13" t="str">
        <x:f>IF('Carga diaria'!F23="","",'Carga diaria'!$E$3)</x:f>
      </x:c>
      <x:c r="E34" s="13" t="str">
        <x:v>Agua cruda</x:v>
      </x:c>
      <x:c r="F34" s="13" t="str">
        <x:v>Tanque Subterráneo</x:v>
      </x:c>
      <x:c r="G34" s="13" t="str">
        <x:v>Alcalinidad (mg/L)</x:v>
      </x:c>
      <x:c r="H34" s="13" t="str">
        <x:v>&lt; 500 mg/L</x:v>
      </x:c>
      <x:c r="I34" s="13" t="str">
        <x:v>mg/L</x:v>
      </x:c>
      <x:c r="J34" s="13" t="str">
        <x:f>IF('Carga diaria'!F23="","",'Carga diaria'!F23)</x:f>
      </x:c>
      <x:c r="K34" s="13" t="str">
        <x:f>IF('Carga diaria'!F23="","",'Carga diaria'!F23)</x:f>
      </x:c>
      <x:c r="L34" s="13"/>
      <x:c r="M34" s="13" t="str">
        <x:f>IF('Carga diaria'!F23="","",'Carga diaria'!G23)</x:f>
      </x:c>
      <x:c r="N34" s="13" t="str">
        <x:v>Carga diaria operador</x:v>
      </x:c>
      <x:c r="O34" s="13" t="str">
        <x:v>ptab_17</x:v>
      </x:c>
    </x:row>
    <x:row r="35">
      <x:c r="A35" s="14" t="str">
        <x:f>IF('Carga diaria'!H23="","",'Carga diaria'!$B$3)</x:f>
      </x:c>
      <x:c r="B35" s="13" t="str">
        <x:v>2do Turno</x:v>
      </x:c>
      <x:c r="C35" s="13" t="str">
        <x:v>06:00 pm</x:v>
      </x:c>
      <x:c r="D35" s="13" t="str">
        <x:f>IF('Carga diaria'!H23="","",'Carga diaria'!$H$3)</x:f>
      </x:c>
      <x:c r="E35" s="13" t="str">
        <x:v>Agua cruda</x:v>
      </x:c>
      <x:c r="F35" s="13" t="str">
        <x:v>Tanque Subterráneo</x:v>
      </x:c>
      <x:c r="G35" s="13" t="str">
        <x:v>Alcalinidad (mg/L)</x:v>
      </x:c>
      <x:c r="H35" s="13" t="str">
        <x:v>&lt; 500 mg/L</x:v>
      </x:c>
      <x:c r="I35" s="13" t="str">
        <x:v>mg/L</x:v>
      </x:c>
      <x:c r="J35" s="13" t="str">
        <x:f>IF('Carga diaria'!H23="","",'Carga diaria'!H23)</x:f>
      </x:c>
      <x:c r="K35" s="13" t="str">
        <x:f>IF('Carga diaria'!H23="","",'Carga diaria'!H23)</x:f>
      </x:c>
      <x:c r="L35" s="13"/>
      <x:c r="M35" s="13" t="str">
        <x:f>IF('Carga diaria'!H23="","",'Carga diaria'!I23)</x:f>
      </x:c>
      <x:c r="N35" s="13" t="str">
        <x:v>Carga diaria operador</x:v>
      </x:c>
      <x:c r="O35" s="13" t="str">
        <x:v>ptab_17</x:v>
      </x:c>
    </x:row>
    <x:row r="36">
      <x:c r="A36" s="14" t="str">
        <x:f>IF('Carga diaria'!F24="","",'Carga diaria'!$B$3)</x:f>
      </x:c>
      <x:c r="B36" s="13" t="str">
        <x:v>1er Turno</x:v>
      </x:c>
      <x:c r="C36" s="13" t="str">
        <x:v>06:00 am</x:v>
      </x:c>
      <x:c r="D36" s="13" t="str">
        <x:f>IF('Carga diaria'!F24="","",'Carga diaria'!$E$3)</x:f>
      </x:c>
      <x:c r="E36" s="13" t="str">
        <x:v>Agua cruda</x:v>
      </x:c>
      <x:c r="F36" s="13" t="str">
        <x:v>Tanque Subterráneo</x:v>
      </x:c>
      <x:c r="G36" s="13" t="str">
        <x:v>Cloro Libre (mg/L)</x:v>
      </x:c>
      <x:c r="H36" s="13" t="str">
        <x:v>0,5 - 3,0 mg/L</x:v>
      </x:c>
      <x:c r="I36" s="13" t="str">
        <x:v>mg/L</x:v>
      </x:c>
      <x:c r="J36" s="13" t="str">
        <x:f>IF('Carga diaria'!F24="","",'Carga diaria'!F24)</x:f>
      </x:c>
      <x:c r="K36" s="13" t="str">
        <x:f>IF('Carga diaria'!F24="","",'Carga diaria'!F24)</x:f>
      </x:c>
      <x:c r="L36" s="13"/>
      <x:c r="M36" s="13" t="str">
        <x:f>IF('Carga diaria'!F24="","",'Carga diaria'!G24)</x:f>
      </x:c>
      <x:c r="N36" s="13" t="str">
        <x:v>Carga diaria operador</x:v>
      </x:c>
      <x:c r="O36" s="13" t="str">
        <x:v>ptab_18</x:v>
      </x:c>
    </x:row>
    <x:row r="37">
      <x:c r="A37" s="14" t="str">
        <x:f>IF('Carga diaria'!H24="","",'Carga diaria'!$B$3)</x:f>
      </x:c>
      <x:c r="B37" s="13" t="str">
        <x:v>2do Turno</x:v>
      </x:c>
      <x:c r="C37" s="13" t="str">
        <x:v>06:00 pm</x:v>
      </x:c>
      <x:c r="D37" s="13" t="str">
        <x:f>IF('Carga diaria'!H24="","",'Carga diaria'!$H$3)</x:f>
      </x:c>
      <x:c r="E37" s="13" t="str">
        <x:v>Agua cruda</x:v>
      </x:c>
      <x:c r="F37" s="13" t="str">
        <x:v>Tanque Subterráneo</x:v>
      </x:c>
      <x:c r="G37" s="13" t="str">
        <x:v>Cloro Libre (mg/L)</x:v>
      </x:c>
      <x:c r="H37" s="13" t="str">
        <x:v>0,5 - 3,0 mg/L</x:v>
      </x:c>
      <x:c r="I37" s="13" t="str">
        <x:v>mg/L</x:v>
      </x:c>
      <x:c r="J37" s="13" t="str">
        <x:f>IF('Carga diaria'!H24="","",'Carga diaria'!H24)</x:f>
      </x:c>
      <x:c r="K37" s="13" t="str">
        <x:f>IF('Carga diaria'!H24="","",'Carga diaria'!H24)</x:f>
      </x:c>
      <x:c r="L37" s="13"/>
      <x:c r="M37" s="13" t="str">
        <x:f>IF('Carga diaria'!H24="","",'Carga diaria'!I24)</x:f>
      </x:c>
      <x:c r="N37" s="13" t="str">
        <x:v>Carga diaria operador</x:v>
      </x:c>
      <x:c r="O37" s="13" t="str">
        <x:v>ptab_18</x:v>
      </x:c>
    </x:row>
    <x:row r="38">
      <x:c r="A38" s="14" t="str">
        <x:f>IF('Carga diaria'!F25="","",'Carga diaria'!$B$3)</x:f>
      </x:c>
      <x:c r="B38" s="13" t="str">
        <x:v>1er Turno</x:v>
      </x:c>
      <x:c r="C38" s="13" t="str">
        <x:v>06:00 am</x:v>
      </x:c>
      <x:c r="D38" s="13" t="str">
        <x:f>IF('Carga diaria'!F25="","",'Carga diaria'!$E$3)</x:f>
      </x:c>
      <x:c r="E38" s="13" t="str">
        <x:v>Agua cruda</x:v>
      </x:c>
      <x:c r="F38" s="13" t="str">
        <x:v>Tanque Subterráneo</x:v>
      </x:c>
      <x:c r="G38" s="13" t="str">
        <x:v>Dureza Total (mg/L)</x:v>
      </x:c>
      <x:c r="H38" s="13" t="str">
        <x:v>&lt; 500 mg/L</x:v>
      </x:c>
      <x:c r="I38" s="13" t="str">
        <x:v>mg/L</x:v>
      </x:c>
      <x:c r="J38" s="13" t="str">
        <x:f>IF('Carga diaria'!F25="","",'Carga diaria'!F25)</x:f>
      </x:c>
      <x:c r="K38" s="13" t="str">
        <x:f>IF('Carga diaria'!F25="","",'Carga diaria'!F25)</x:f>
      </x:c>
      <x:c r="L38" s="13"/>
      <x:c r="M38" s="13" t="str">
        <x:f>IF('Carga diaria'!F25="","",'Carga diaria'!G25)</x:f>
      </x:c>
      <x:c r="N38" s="13" t="str">
        <x:v>Carga diaria operador</x:v>
      </x:c>
      <x:c r="O38" s="13" t="str">
        <x:v>ptab_19</x:v>
      </x:c>
    </x:row>
    <x:row r="39">
      <x:c r="A39" s="14" t="str">
        <x:f>IF('Carga diaria'!H25="","",'Carga diaria'!$B$3)</x:f>
      </x:c>
      <x:c r="B39" s="13" t="str">
        <x:v>2do Turno</x:v>
      </x:c>
      <x:c r="C39" s="13" t="str">
        <x:v>06:00 pm</x:v>
      </x:c>
      <x:c r="D39" s="13" t="str">
        <x:f>IF('Carga diaria'!H25="","",'Carga diaria'!$H$3)</x:f>
      </x:c>
      <x:c r="E39" s="13" t="str">
        <x:v>Agua cruda</x:v>
      </x:c>
      <x:c r="F39" s="13" t="str">
        <x:v>Tanque Subterráneo</x:v>
      </x:c>
      <x:c r="G39" s="13" t="str">
        <x:v>Dureza Total (mg/L)</x:v>
      </x:c>
      <x:c r="H39" s="13" t="str">
        <x:v>&lt; 500 mg/L</x:v>
      </x:c>
      <x:c r="I39" s="13" t="str">
        <x:v>mg/L</x:v>
      </x:c>
      <x:c r="J39" s="13" t="str">
        <x:f>IF('Carga diaria'!H25="","",'Carga diaria'!H25)</x:f>
      </x:c>
      <x:c r="K39" s="13" t="str">
        <x:f>IF('Carga diaria'!H25="","",'Carga diaria'!H25)</x:f>
      </x:c>
      <x:c r="L39" s="13"/>
      <x:c r="M39" s="13" t="str">
        <x:f>IF('Carga diaria'!H25="","",'Carga diaria'!I25)</x:f>
      </x:c>
      <x:c r="N39" s="13" t="str">
        <x:v>Carga diaria operador</x:v>
      </x:c>
      <x:c r="O39" s="13" t="str">
        <x:v>ptab_19</x:v>
      </x:c>
    </x:row>
    <x:row r="40">
      <x:c r="A40" s="14" t="str">
        <x:f>IF('Carga diaria'!F26="","",'Carga diaria'!$B$3)</x:f>
      </x:c>
      <x:c r="B40" s="13" t="str">
        <x:v>1er Turno</x:v>
      </x:c>
      <x:c r="C40" s="13" t="str">
        <x:v>06:00 am</x:v>
      </x:c>
      <x:c r="D40" s="13" t="str">
        <x:f>IF('Carga diaria'!F26="","",'Carga diaria'!$E$3)</x:f>
      </x:c>
      <x:c r="E40" s="13" t="str">
        <x:v>Agua cruda</x:v>
      </x:c>
      <x:c r="F40" s="13" t="str">
        <x:v>Tanque Subterráneo</x:v>
      </x:c>
      <x:c r="G40" s="13" t="str">
        <x:v>Hierro (mg/L)</x:v>
      </x:c>
      <x:c r="H40" s="13" t="str">
        <x:v>&lt; 8,0 mg/L</x:v>
      </x:c>
      <x:c r="I40" s="13" t="str">
        <x:v>mg/L</x:v>
      </x:c>
      <x:c r="J40" s="13" t="str">
        <x:f>IF('Carga diaria'!F26="","",'Carga diaria'!F26)</x:f>
      </x:c>
      <x:c r="K40" s="13" t="str">
        <x:f>IF('Carga diaria'!F26="","",'Carga diaria'!F26)</x:f>
      </x:c>
      <x:c r="L40" s="13"/>
      <x:c r="M40" s="13" t="str">
        <x:f>IF('Carga diaria'!F26="","",'Carga diaria'!G26)</x:f>
      </x:c>
      <x:c r="N40" s="13" t="str">
        <x:v>Carga diaria operador</x:v>
      </x:c>
      <x:c r="O40" s="13" t="str">
        <x:v>ptab_20</x:v>
      </x:c>
    </x:row>
    <x:row r="41">
      <x:c r="A41" s="14" t="str">
        <x:f>IF('Carga diaria'!H26="","",'Carga diaria'!$B$3)</x:f>
      </x:c>
      <x:c r="B41" s="13" t="str">
        <x:v>2do Turno</x:v>
      </x:c>
      <x:c r="C41" s="13" t="str">
        <x:v>06:00 pm</x:v>
      </x:c>
      <x:c r="D41" s="13" t="str">
        <x:f>IF('Carga diaria'!H26="","",'Carga diaria'!$H$3)</x:f>
      </x:c>
      <x:c r="E41" s="13" t="str">
        <x:v>Agua cruda</x:v>
      </x:c>
      <x:c r="F41" s="13" t="str">
        <x:v>Tanque Subterráneo</x:v>
      </x:c>
      <x:c r="G41" s="13" t="str">
        <x:v>Hierro (mg/L)</x:v>
      </x:c>
      <x:c r="H41" s="13" t="str">
        <x:v>&lt; 8,0 mg/L</x:v>
      </x:c>
      <x:c r="I41" s="13" t="str">
        <x:v>mg/L</x:v>
      </x:c>
      <x:c r="J41" s="13" t="str">
        <x:f>IF('Carga diaria'!H26="","",'Carga diaria'!H26)</x:f>
      </x:c>
      <x:c r="K41" s="13" t="str">
        <x:f>IF('Carga diaria'!H26="","",'Carga diaria'!H26)</x:f>
      </x:c>
      <x:c r="L41" s="13"/>
      <x:c r="M41" s="13" t="str">
        <x:f>IF('Carga diaria'!H26="","",'Carga diaria'!I26)</x:f>
      </x:c>
      <x:c r="N41" s="13" t="str">
        <x:v>Carga diaria operador</x:v>
      </x:c>
      <x:c r="O41" s="13" t="str">
        <x:v>ptab_20</x:v>
      </x:c>
    </x:row>
    <x:row r="42">
      <x:c r="A42" s="14" t="str">
        <x:f>IF('Carga diaria'!F27="","",'Carga diaria'!$B$3)</x:f>
      </x:c>
      <x:c r="B42" s="13" t="str">
        <x:v>1er Turno</x:v>
      </x:c>
      <x:c r="C42" s="13" t="str">
        <x:v>06:00 am</x:v>
      </x:c>
      <x:c r="D42" s="13" t="str">
        <x:f>IF('Carga diaria'!F27="","",'Carga diaria'!$E$3)</x:f>
      </x:c>
      <x:c r="E42" s="13" t="str">
        <x:v>Agua cruda</x:v>
      </x:c>
      <x:c r="F42" s="13" t="str">
        <x:v>Tanque Subterráneo</x:v>
      </x:c>
      <x:c r="G42" s="13" t="str">
        <x:v>Bomba 1</x:v>
      </x:c>
      <x:c r="H42" s="13" t="str">
        <x:v>—</x:v>
      </x:c>
      <x:c r="I42" s="13" t="str"/>
      <x:c r="J42" s="13" t="str">
        <x:f>IF('Carga diaria'!F27="","",'Carga diaria'!F27)</x:f>
      </x:c>
      <x:c r="K42" s="13" t="str">
        <x:f>IF('Carga diaria'!F27="","",'Carga diaria'!F27)</x:f>
      </x:c>
      <x:c r="L42" s="13"/>
      <x:c r="M42" s="13" t="str">
        <x:f>IF('Carga diaria'!F27="","",'Carga diaria'!G27)</x:f>
      </x:c>
      <x:c r="N42" s="13" t="str">
        <x:v>Carga diaria operador</x:v>
      </x:c>
      <x:c r="O42" s="13" t="str">
        <x:v>ptab_40</x:v>
      </x:c>
    </x:row>
    <x:row r="43">
      <x:c r="A43" s="14" t="str">
        <x:f>IF('Carga diaria'!H27="","",'Carga diaria'!$B$3)</x:f>
      </x:c>
      <x:c r="B43" s="13" t="str">
        <x:v>2do Turno</x:v>
      </x:c>
      <x:c r="C43" s="13" t="str">
        <x:v>06:00 pm</x:v>
      </x:c>
      <x:c r="D43" s="13" t="str">
        <x:f>IF('Carga diaria'!H27="","",'Carga diaria'!$H$3)</x:f>
      </x:c>
      <x:c r="E43" s="13" t="str">
        <x:v>Agua cruda</x:v>
      </x:c>
      <x:c r="F43" s="13" t="str">
        <x:v>Tanque Subterráneo</x:v>
      </x:c>
      <x:c r="G43" s="13" t="str">
        <x:v>Bomba 1</x:v>
      </x:c>
      <x:c r="H43" s="13" t="str">
        <x:v>—</x:v>
      </x:c>
      <x:c r="I43" s="13" t="str"/>
      <x:c r="J43" s="13" t="str">
        <x:f>IF('Carga diaria'!H27="","",'Carga diaria'!H27)</x:f>
      </x:c>
      <x:c r="K43" s="13" t="str">
        <x:f>IF('Carga diaria'!H27="","",'Carga diaria'!H27)</x:f>
      </x:c>
      <x:c r="L43" s="13"/>
      <x:c r="M43" s="13" t="str">
        <x:f>IF('Carga diaria'!H27="","",'Carga diaria'!I27)</x:f>
      </x:c>
      <x:c r="N43" s="13" t="str">
        <x:v>Carga diaria operador</x:v>
      </x:c>
      <x:c r="O43" s="13" t="str">
        <x:v>ptab_40</x:v>
      </x:c>
    </x:row>
    <x:row r="44">
      <x:c r="A44" s="14" t="str">
        <x:f>IF('Carga diaria'!F28="","",'Carga diaria'!$B$3)</x:f>
      </x:c>
      <x:c r="B44" s="13" t="str">
        <x:v>1er Turno</x:v>
      </x:c>
      <x:c r="C44" s="13" t="str">
        <x:v>06:00 am</x:v>
      </x:c>
      <x:c r="D44" s="13" t="str">
        <x:f>IF('Carga diaria'!F28="","",'Carga diaria'!$E$3)</x:f>
      </x:c>
      <x:c r="E44" s="13" t="str">
        <x:v>Agua cruda</x:v>
      </x:c>
      <x:c r="F44" s="13" t="str">
        <x:v>Tanque Subterráneo</x:v>
      </x:c>
      <x:c r="G44" s="13" t="str">
        <x:v>Bomba 2</x:v>
      </x:c>
      <x:c r="H44" s="13" t="str">
        <x:v>—</x:v>
      </x:c>
      <x:c r="I44" s="13" t="str"/>
      <x:c r="J44" s="13" t="str">
        <x:f>IF('Carga diaria'!F28="","",'Carga diaria'!F28)</x:f>
      </x:c>
      <x:c r="K44" s="13" t="str">
        <x:f>IF('Carga diaria'!F28="","",'Carga diaria'!F28)</x:f>
      </x:c>
      <x:c r="L44" s="13"/>
      <x:c r="M44" s="13" t="str">
        <x:f>IF('Carga diaria'!F28="","",'Carga diaria'!G28)</x:f>
      </x:c>
      <x:c r="N44" s="13" t="str">
        <x:v>Carga diaria operador</x:v>
      </x:c>
      <x:c r="O44" s="13" t="str">
        <x:v>ptab_41</x:v>
      </x:c>
    </x:row>
    <x:row r="45">
      <x:c r="A45" s="14" t="str">
        <x:f>IF('Carga diaria'!H28="","",'Carga diaria'!$B$3)</x:f>
      </x:c>
      <x:c r="B45" s="13" t="str">
        <x:v>2do Turno</x:v>
      </x:c>
      <x:c r="C45" s="13" t="str">
        <x:v>06:00 pm</x:v>
      </x:c>
      <x:c r="D45" s="13" t="str">
        <x:f>IF('Carga diaria'!H28="","",'Carga diaria'!$H$3)</x:f>
      </x:c>
      <x:c r="E45" s="13" t="str">
        <x:v>Agua cruda</x:v>
      </x:c>
      <x:c r="F45" s="13" t="str">
        <x:v>Tanque Subterráneo</x:v>
      </x:c>
      <x:c r="G45" s="13" t="str">
        <x:v>Bomba 2</x:v>
      </x:c>
      <x:c r="H45" s="13" t="str">
        <x:v>—</x:v>
      </x:c>
      <x:c r="I45" s="13" t="str"/>
      <x:c r="J45" s="13" t="str">
        <x:f>IF('Carga diaria'!H28="","",'Carga diaria'!H28)</x:f>
      </x:c>
      <x:c r="K45" s="13" t="str">
        <x:f>IF('Carga diaria'!H28="","",'Carga diaria'!H28)</x:f>
      </x:c>
      <x:c r="L45" s="13"/>
      <x:c r="M45" s="13" t="str">
        <x:f>IF('Carga diaria'!H28="","",'Carga diaria'!I28)</x:f>
      </x:c>
      <x:c r="N45" s="13" t="str">
        <x:v>Carga diaria operador</x:v>
      </x:c>
      <x:c r="O45" s="13" t="str">
        <x:v>ptab_41</x:v>
      </x:c>
    </x:row>
    <x:row r="46">
      <x:c r="A46" s="14" t="str">
        <x:f>IF('Carga diaria'!F29="","",'Carga diaria'!$B$3)</x:f>
      </x:c>
      <x:c r="B46" s="13" t="str">
        <x:v>1er Turno</x:v>
      </x:c>
      <x:c r="C46" s="13" t="str">
        <x:v>06:00 am</x:v>
      </x:c>
      <x:c r="D46" s="13" t="str">
        <x:f>IF('Carga diaria'!F29="","",'Carga diaria'!$E$3)</x:f>
      </x:c>
      <x:c r="E46" s="13" t="str">
        <x:v>Agua cruda</x:v>
      </x:c>
      <x:c r="F46" s="13" t="str">
        <x:v>Tanque Subterráneo</x:v>
      </x:c>
      <x:c r="G46" s="13" t="str">
        <x:v>Bomba 3</x:v>
      </x:c>
      <x:c r="H46" s="13" t="str">
        <x:v>—</x:v>
      </x:c>
      <x:c r="I46" s="13" t="str"/>
      <x:c r="J46" s="13" t="str">
        <x:f>IF('Carga diaria'!F29="","",'Carga diaria'!F29)</x:f>
      </x:c>
      <x:c r="K46" s="13" t="str">
        <x:f>IF('Carga diaria'!F29="","",'Carga diaria'!F29)</x:f>
      </x:c>
      <x:c r="L46" s="13"/>
      <x:c r="M46" s="13" t="str">
        <x:f>IF('Carga diaria'!F29="","",'Carga diaria'!G29)</x:f>
      </x:c>
      <x:c r="N46" s="13" t="str">
        <x:v>Carga diaria operador</x:v>
      </x:c>
      <x:c r="O46" s="13" t="str">
        <x:v>ptab_42</x:v>
      </x:c>
    </x:row>
    <x:row r="47">
      <x:c r="A47" s="14" t="str">
        <x:f>IF('Carga diaria'!H29="","",'Carga diaria'!$B$3)</x:f>
      </x:c>
      <x:c r="B47" s="13" t="str">
        <x:v>2do Turno</x:v>
      </x:c>
      <x:c r="C47" s="13" t="str">
        <x:v>06:00 pm</x:v>
      </x:c>
      <x:c r="D47" s="13" t="str">
        <x:f>IF('Carga diaria'!H29="","",'Carga diaria'!$H$3)</x:f>
      </x:c>
      <x:c r="E47" s="13" t="str">
        <x:v>Agua cruda</x:v>
      </x:c>
      <x:c r="F47" s="13" t="str">
        <x:v>Tanque Subterráneo</x:v>
      </x:c>
      <x:c r="G47" s="13" t="str">
        <x:v>Bomba 3</x:v>
      </x:c>
      <x:c r="H47" s="13" t="str">
        <x:v>—</x:v>
      </x:c>
      <x:c r="I47" s="13" t="str"/>
      <x:c r="J47" s="13" t="str">
        <x:f>IF('Carga diaria'!H29="","",'Carga diaria'!H29)</x:f>
      </x:c>
      <x:c r="K47" s="13" t="str">
        <x:f>IF('Carga diaria'!H29="","",'Carga diaria'!H29)</x:f>
      </x:c>
      <x:c r="L47" s="13"/>
      <x:c r="M47" s="13" t="str">
        <x:f>IF('Carga diaria'!H29="","",'Carga diaria'!I29)</x:f>
      </x:c>
      <x:c r="N47" s="13" t="str">
        <x:v>Carga diaria operador</x:v>
      </x:c>
      <x:c r="O47" s="13" t="str">
        <x:v>ptab_42</x:v>
      </x:c>
    </x:row>
    <x:row r="48">
      <x:c r="A48" s="14" t="str">
        <x:f>IF('Carga diaria'!F30="","",'Carga diaria'!$B$3)</x:f>
      </x:c>
      <x:c r="B48" s="13" t="str">
        <x:v>1er Turno</x:v>
      </x:c>
      <x:c r="C48" s="13" t="str">
        <x:v>06:00 am</x:v>
      </x:c>
      <x:c r="D48" s="13" t="str">
        <x:f>IF('Carga diaria'!F30="","",'Carga diaria'!$E$3)</x:f>
      </x:c>
      <x:c r="E48" s="13" t="str">
        <x:v>Agua filtrada</x:v>
      </x:c>
      <x:c r="F48" s="13" t="str">
        <x:v>Filtro Arena N°1</x:v>
      </x:c>
      <x:c r="G48" s="13" t="str">
        <x:v>Presión Entrada (psi)</x:v>
      </x:c>
      <x:c r="H48" s="13" t="str">
        <x:v>—</x:v>
      </x:c>
      <x:c r="I48" s="13" t="str">
        <x:v>psi</x:v>
      </x:c>
      <x:c r="J48" s="13" t="str">
        <x:f>IF('Carga diaria'!F30="","",'Carga diaria'!F30)</x:f>
      </x:c>
      <x:c r="K48" s="13" t="str">
        <x:f>IF('Carga diaria'!F30="","",'Carga diaria'!F30)</x:f>
      </x:c>
      <x:c r="L48" s="13"/>
      <x:c r="M48" s="13" t="str">
        <x:f>IF('Carga diaria'!F30="","",'Carga diaria'!G30)</x:f>
      </x:c>
      <x:c r="N48" s="13" t="str">
        <x:v>Carga diaria operador</x:v>
      </x:c>
      <x:c r="O48" s="13" t="str">
        <x:v>ptab_21</x:v>
      </x:c>
    </x:row>
    <x:row r="49">
      <x:c r="A49" s="14" t="str">
        <x:f>IF('Carga diaria'!H30="","",'Carga diaria'!$B$3)</x:f>
      </x:c>
      <x:c r="B49" s="13" t="str">
        <x:v>2do Turno</x:v>
      </x:c>
      <x:c r="C49" s="13" t="str">
        <x:v>06:00 pm</x:v>
      </x:c>
      <x:c r="D49" s="13" t="str">
        <x:f>IF('Carga diaria'!H30="","",'Carga diaria'!$H$3)</x:f>
      </x:c>
      <x:c r="E49" s="13" t="str">
        <x:v>Agua filtrada</x:v>
      </x:c>
      <x:c r="F49" s="13" t="str">
        <x:v>Filtro Arena N°1</x:v>
      </x:c>
      <x:c r="G49" s="13" t="str">
        <x:v>Presión Entrada (psi)</x:v>
      </x:c>
      <x:c r="H49" s="13" t="str">
        <x:v>—</x:v>
      </x:c>
      <x:c r="I49" s="13" t="str">
        <x:v>psi</x:v>
      </x:c>
      <x:c r="J49" s="13" t="str">
        <x:f>IF('Carga diaria'!H30="","",'Carga diaria'!H30)</x:f>
      </x:c>
      <x:c r="K49" s="13" t="str">
        <x:f>IF('Carga diaria'!H30="","",'Carga diaria'!H30)</x:f>
      </x:c>
      <x:c r="L49" s="13"/>
      <x:c r="M49" s="13" t="str">
        <x:f>IF('Carga diaria'!H30="","",'Carga diaria'!I30)</x:f>
      </x:c>
      <x:c r="N49" s="13" t="str">
        <x:v>Carga diaria operador</x:v>
      </x:c>
      <x:c r="O49" s="13" t="str">
        <x:v>ptab_21</x:v>
      </x:c>
    </x:row>
    <x:row r="50">
      <x:c r="A50" s="14" t="str">
        <x:f>IF('Carga diaria'!F31="","",'Carga diaria'!$B$3)</x:f>
      </x:c>
      <x:c r="B50" s="13" t="str">
        <x:v>1er Turno</x:v>
      </x:c>
      <x:c r="C50" s="13" t="str">
        <x:v>06:00 am</x:v>
      </x:c>
      <x:c r="D50" s="13" t="str">
        <x:f>IF('Carga diaria'!F31="","",'Carga diaria'!$E$3)</x:f>
      </x:c>
      <x:c r="E50" s="13" t="str">
        <x:v>Agua filtrada</x:v>
      </x:c>
      <x:c r="F50" s="13" t="str">
        <x:v>Filtro Arena N°1</x:v>
      </x:c>
      <x:c r="G50" s="13" t="str">
        <x:v>Presión de Salida (psi)</x:v>
      </x:c>
      <x:c r="H50" s="13" t="str">
        <x:v>&lt; 72,5</x:v>
      </x:c>
      <x:c r="I50" s="13" t="str">
        <x:v>psi</x:v>
      </x:c>
      <x:c r="J50" s="13" t="str">
        <x:f>IF('Carga diaria'!F31="","",'Carga diaria'!F31)</x:f>
      </x:c>
      <x:c r="K50" s="13" t="str">
        <x:f>IF('Carga diaria'!F31="","",'Carga diaria'!F31)</x:f>
      </x:c>
      <x:c r="L50" s="13"/>
      <x:c r="M50" s="13" t="str">
        <x:f>IF('Carga diaria'!F31="","",'Carga diaria'!G31)</x:f>
      </x:c>
      <x:c r="N50" s="13" t="str">
        <x:v>Carga diaria operador</x:v>
      </x:c>
      <x:c r="O50" s="13" t="str">
        <x:v>ptab_22</x:v>
      </x:c>
    </x:row>
    <x:row r="51">
      <x:c r="A51" s="14" t="str">
        <x:f>IF('Carga diaria'!H31="","",'Carga diaria'!$B$3)</x:f>
      </x:c>
      <x:c r="B51" s="13" t="str">
        <x:v>2do Turno</x:v>
      </x:c>
      <x:c r="C51" s="13" t="str">
        <x:v>06:00 pm</x:v>
      </x:c>
      <x:c r="D51" s="13" t="str">
        <x:f>IF('Carga diaria'!H31="","",'Carga diaria'!$H$3)</x:f>
      </x:c>
      <x:c r="E51" s="13" t="str">
        <x:v>Agua filtrada</x:v>
      </x:c>
      <x:c r="F51" s="13" t="str">
        <x:v>Filtro Arena N°1</x:v>
      </x:c>
      <x:c r="G51" s="13" t="str">
        <x:v>Presión de Salida (psi)</x:v>
      </x:c>
      <x:c r="H51" s="13" t="str">
        <x:v>&lt; 72,5</x:v>
      </x:c>
      <x:c r="I51" s="13" t="str">
        <x:v>psi</x:v>
      </x:c>
      <x:c r="J51" s="13" t="str">
        <x:f>IF('Carga diaria'!H31="","",'Carga diaria'!H31)</x:f>
      </x:c>
      <x:c r="K51" s="13" t="str">
        <x:f>IF('Carga diaria'!H31="","",'Carga diaria'!H31)</x:f>
      </x:c>
      <x:c r="L51" s="13"/>
      <x:c r="M51" s="13" t="str">
        <x:f>IF('Carga diaria'!H31="","",'Carga diaria'!I31)</x:f>
      </x:c>
      <x:c r="N51" s="13" t="str">
        <x:v>Carga diaria operador</x:v>
      </x:c>
      <x:c r="O51" s="13" t="str">
        <x:v>ptab_22</x:v>
      </x:c>
    </x:row>
    <x:row r="52">
      <x:c r="A52" s="14" t="str">
        <x:f>IF('Carga diaria'!F32="","",'Carga diaria'!$B$3)</x:f>
      </x:c>
      <x:c r="B52" s="13" t="str">
        <x:v>1er Turno</x:v>
      </x:c>
      <x:c r="C52" s="13" t="str">
        <x:v>06:00 am</x:v>
      </x:c>
      <x:c r="D52" s="13" t="str">
        <x:f>IF('Carga diaria'!F32="","",'Carga diaria'!$E$3)</x:f>
      </x:c>
      <x:c r="E52" s="13" t="str">
        <x:v>Agua filtrada</x:v>
      </x:c>
      <x:c r="F52" s="13" t="str">
        <x:v>Filtro Arena N°1</x:v>
      </x:c>
      <x:c r="G52" s="13" t="str">
        <x:v>Caudal Operación (l/s)</x:v>
      </x:c>
      <x:c r="H52" s="13" t="str">
        <x:v>—</x:v>
      </x:c>
      <x:c r="I52" s="13" t="str">
        <x:v>l/s</x:v>
      </x:c>
      <x:c r="J52" s="13" t="str">
        <x:f>IF('Carga diaria'!F32="","",'Carga diaria'!F32)</x:f>
      </x:c>
      <x:c r="K52" s="13" t="str">
        <x:f>IF('Carga diaria'!F32="","",'Carga diaria'!F32)</x:f>
      </x:c>
      <x:c r="L52" s="13"/>
      <x:c r="M52" s="13" t="str">
        <x:f>IF('Carga diaria'!F32="","",'Carga diaria'!G32)</x:f>
      </x:c>
      <x:c r="N52" s="13" t="str">
        <x:v>Carga diaria operador</x:v>
      </x:c>
      <x:c r="O52" s="13" t="str">
        <x:v>ptab_23</x:v>
      </x:c>
    </x:row>
    <x:row r="53">
      <x:c r="A53" s="14" t="str">
        <x:f>IF('Carga diaria'!H32="","",'Carga diaria'!$B$3)</x:f>
      </x:c>
      <x:c r="B53" s="13" t="str">
        <x:v>2do Turno</x:v>
      </x:c>
      <x:c r="C53" s="13" t="str">
        <x:v>06:00 pm</x:v>
      </x:c>
      <x:c r="D53" s="13" t="str">
        <x:f>IF('Carga diaria'!H32="","",'Carga diaria'!$H$3)</x:f>
      </x:c>
      <x:c r="E53" s="13" t="str">
        <x:v>Agua filtrada</x:v>
      </x:c>
      <x:c r="F53" s="13" t="str">
        <x:v>Filtro Arena N°1</x:v>
      </x:c>
      <x:c r="G53" s="13" t="str">
        <x:v>Caudal Operación (l/s)</x:v>
      </x:c>
      <x:c r="H53" s="13" t="str">
        <x:v>—</x:v>
      </x:c>
      <x:c r="I53" s="13" t="str">
        <x:v>l/s</x:v>
      </x:c>
      <x:c r="J53" s="13" t="str">
        <x:f>IF('Carga diaria'!H32="","",'Carga diaria'!H32)</x:f>
      </x:c>
      <x:c r="K53" s="13" t="str">
        <x:f>IF('Carga diaria'!H32="","",'Carga diaria'!H32)</x:f>
      </x:c>
      <x:c r="L53" s="13"/>
      <x:c r="M53" s="13" t="str">
        <x:f>IF('Carga diaria'!H32="","",'Carga diaria'!I32)</x:f>
      </x:c>
      <x:c r="N53" s="13" t="str">
        <x:v>Carga diaria operador</x:v>
      </x:c>
      <x:c r="O53" s="13" t="str">
        <x:v>ptab_23</x:v>
      </x:c>
    </x:row>
    <x:row r="54">
      <x:c r="A54" s="14" t="str">
        <x:f>IF('Carga diaria'!F33="","",'Carga diaria'!$B$3)</x:f>
      </x:c>
      <x:c r="B54" s="13" t="str">
        <x:v>1er Turno</x:v>
      </x:c>
      <x:c r="C54" s="13" t="str">
        <x:v>06:00 am</x:v>
      </x:c>
      <x:c r="D54" s="13" t="str">
        <x:f>IF('Carga diaria'!F33="","",'Carga diaria'!$E$3)</x:f>
      </x:c>
      <x:c r="E54" s="13" t="str">
        <x:v>Agua filtrada</x:v>
      </x:c>
      <x:c r="F54" s="13" t="str">
        <x:v>Filtro Arena N°1</x:v>
      </x:c>
      <x:c r="G54" s="13" t="str">
        <x:v>Turbidez (NTU)</x:v>
      </x:c>
      <x:c r="H54" s="13" t="str">
        <x:v>&lt; 01 N.T.U.</x:v>
      </x:c>
      <x:c r="I54" s="13" t="str">
        <x:v>NTU</x:v>
      </x:c>
      <x:c r="J54" s="13" t="str">
        <x:f>IF('Carga diaria'!F33="","",'Carga diaria'!F33)</x:f>
      </x:c>
      <x:c r="K54" s="13" t="str">
        <x:f>IF('Carga diaria'!F33="","",'Carga diaria'!F33)</x:f>
      </x:c>
      <x:c r="L54" s="13"/>
      <x:c r="M54" s="13" t="str">
        <x:f>IF('Carga diaria'!F33="","",'Carga diaria'!G33)</x:f>
      </x:c>
      <x:c r="N54" s="13" t="str">
        <x:v>Carga diaria operador</x:v>
      </x:c>
      <x:c r="O54" s="13" t="str">
        <x:v>ptab_24</x:v>
      </x:c>
    </x:row>
    <x:row r="55">
      <x:c r="A55" s="14" t="str">
        <x:f>IF('Carga diaria'!H33="","",'Carga diaria'!$B$3)</x:f>
      </x:c>
      <x:c r="B55" s="13" t="str">
        <x:v>2do Turno</x:v>
      </x:c>
      <x:c r="C55" s="13" t="str">
        <x:v>06:00 pm</x:v>
      </x:c>
      <x:c r="D55" s="13" t="str">
        <x:f>IF('Carga diaria'!H33="","",'Carga diaria'!$H$3)</x:f>
      </x:c>
      <x:c r="E55" s="13" t="str">
        <x:v>Agua filtrada</x:v>
      </x:c>
      <x:c r="F55" s="13" t="str">
        <x:v>Filtro Arena N°1</x:v>
      </x:c>
      <x:c r="G55" s="13" t="str">
        <x:v>Turbidez (NTU)</x:v>
      </x:c>
      <x:c r="H55" s="13" t="str">
        <x:v>&lt; 01 N.T.U.</x:v>
      </x:c>
      <x:c r="I55" s="13" t="str">
        <x:v>NTU</x:v>
      </x:c>
      <x:c r="J55" s="13" t="str">
        <x:f>IF('Carga diaria'!H33="","",'Carga diaria'!H33)</x:f>
      </x:c>
      <x:c r="K55" s="13" t="str">
        <x:f>IF('Carga diaria'!H33="","",'Carga diaria'!H33)</x:f>
      </x:c>
      <x:c r="L55" s="13"/>
      <x:c r="M55" s="13" t="str">
        <x:f>IF('Carga diaria'!H33="","",'Carga diaria'!I33)</x:f>
      </x:c>
      <x:c r="N55" s="13" t="str">
        <x:v>Carga diaria operador</x:v>
      </x:c>
      <x:c r="O55" s="13" t="str">
        <x:v>ptab_24</x:v>
      </x:c>
    </x:row>
    <x:row r="56">
      <x:c r="A56" s="14" t="str">
        <x:f>IF('Carga diaria'!F34="","",'Carga diaria'!$B$3)</x:f>
      </x:c>
      <x:c r="B56" s="13" t="str">
        <x:v>1er Turno</x:v>
      </x:c>
      <x:c r="C56" s="13" t="str">
        <x:v>06:00 am</x:v>
      </x:c>
      <x:c r="D56" s="13" t="str">
        <x:f>IF('Carga diaria'!F34="","",'Carga diaria'!$E$3)</x:f>
      </x:c>
      <x:c r="E56" s="13" t="str">
        <x:v>Agua filtrada</x:v>
      </x:c>
      <x:c r="F56" s="13" t="str">
        <x:v>Filtro Arena N°2</x:v>
      </x:c>
      <x:c r="G56" s="13" t="str">
        <x:v>Presión Entrada (psi)</x:v>
      </x:c>
      <x:c r="H56" s="13" t="str">
        <x:v>—</x:v>
      </x:c>
      <x:c r="I56" s="13" t="str">
        <x:v>psi</x:v>
      </x:c>
      <x:c r="J56" s="13" t="str">
        <x:f>IF('Carga diaria'!F34="","",'Carga diaria'!F34)</x:f>
      </x:c>
      <x:c r="K56" s="13" t="str">
        <x:f>IF('Carga diaria'!F34="","",'Carga diaria'!F34)</x:f>
      </x:c>
      <x:c r="L56" s="13"/>
      <x:c r="M56" s="13" t="str">
        <x:f>IF('Carga diaria'!F34="","",'Carga diaria'!G34)</x:f>
      </x:c>
      <x:c r="N56" s="13" t="str">
        <x:v>Carga diaria operador</x:v>
      </x:c>
      <x:c r="O56" s="13" t="str">
        <x:v>ptab_25</x:v>
      </x:c>
    </x:row>
    <x:row r="57">
      <x:c r="A57" s="14" t="str">
        <x:f>IF('Carga diaria'!H34="","",'Carga diaria'!$B$3)</x:f>
      </x:c>
      <x:c r="B57" s="13" t="str">
        <x:v>2do Turno</x:v>
      </x:c>
      <x:c r="C57" s="13" t="str">
        <x:v>06:00 pm</x:v>
      </x:c>
      <x:c r="D57" s="13" t="str">
        <x:f>IF('Carga diaria'!H34="","",'Carga diaria'!$H$3)</x:f>
      </x:c>
      <x:c r="E57" s="13" t="str">
        <x:v>Agua filtrada</x:v>
      </x:c>
      <x:c r="F57" s="13" t="str">
        <x:v>Filtro Arena N°2</x:v>
      </x:c>
      <x:c r="G57" s="13" t="str">
        <x:v>Presión Entrada (psi)</x:v>
      </x:c>
      <x:c r="H57" s="13" t="str">
        <x:v>—</x:v>
      </x:c>
      <x:c r="I57" s="13" t="str">
        <x:v>psi</x:v>
      </x:c>
      <x:c r="J57" s="13" t="str">
        <x:f>IF('Carga diaria'!H34="","",'Carga diaria'!H34)</x:f>
      </x:c>
      <x:c r="K57" s="13" t="str">
        <x:f>IF('Carga diaria'!H34="","",'Carga diaria'!H34)</x:f>
      </x:c>
      <x:c r="L57" s="13"/>
      <x:c r="M57" s="13" t="str">
        <x:f>IF('Carga diaria'!H34="","",'Carga diaria'!I34)</x:f>
      </x:c>
      <x:c r="N57" s="13" t="str">
        <x:v>Carga diaria operador</x:v>
      </x:c>
      <x:c r="O57" s="13" t="str">
        <x:v>ptab_25</x:v>
      </x:c>
    </x:row>
    <x:row r="58">
      <x:c r="A58" s="14" t="str">
        <x:f>IF('Carga diaria'!F35="","",'Carga diaria'!$B$3)</x:f>
      </x:c>
      <x:c r="B58" s="13" t="str">
        <x:v>1er Turno</x:v>
      </x:c>
      <x:c r="C58" s="13" t="str">
        <x:v>06:00 am</x:v>
      </x:c>
      <x:c r="D58" s="13" t="str">
        <x:f>IF('Carga diaria'!F35="","",'Carga diaria'!$E$3)</x:f>
      </x:c>
      <x:c r="E58" s="13" t="str">
        <x:v>Agua filtrada</x:v>
      </x:c>
      <x:c r="F58" s="13" t="str">
        <x:v>Filtro Arena N°2</x:v>
      </x:c>
      <x:c r="G58" s="13" t="str">
        <x:v>Presión de Salida (psi)</x:v>
      </x:c>
      <x:c r="H58" s="13" t="str">
        <x:v>&lt; 72,5</x:v>
      </x:c>
      <x:c r="I58" s="13" t="str">
        <x:v>psi</x:v>
      </x:c>
      <x:c r="J58" s="13" t="str">
        <x:f>IF('Carga diaria'!F35="","",'Carga diaria'!F35)</x:f>
      </x:c>
      <x:c r="K58" s="13" t="str">
        <x:f>IF('Carga diaria'!F35="","",'Carga diaria'!F35)</x:f>
      </x:c>
      <x:c r="L58" s="13"/>
      <x:c r="M58" s="13" t="str">
        <x:f>IF('Carga diaria'!F35="","",'Carga diaria'!G35)</x:f>
      </x:c>
      <x:c r="N58" s="13" t="str">
        <x:v>Carga diaria operador</x:v>
      </x:c>
      <x:c r="O58" s="13" t="str">
        <x:v>ptab_26</x:v>
      </x:c>
    </x:row>
    <x:row r="59">
      <x:c r="A59" s="14" t="str">
        <x:f>IF('Carga diaria'!H35="","",'Carga diaria'!$B$3)</x:f>
      </x:c>
      <x:c r="B59" s="13" t="str">
        <x:v>2do Turno</x:v>
      </x:c>
      <x:c r="C59" s="13" t="str">
        <x:v>06:00 pm</x:v>
      </x:c>
      <x:c r="D59" s="13" t="str">
        <x:f>IF('Carga diaria'!H35="","",'Carga diaria'!$H$3)</x:f>
      </x:c>
      <x:c r="E59" s="13" t="str">
        <x:v>Agua filtrada</x:v>
      </x:c>
      <x:c r="F59" s="13" t="str">
        <x:v>Filtro Arena N°2</x:v>
      </x:c>
      <x:c r="G59" s="13" t="str">
        <x:v>Presión de Salida (psi)</x:v>
      </x:c>
      <x:c r="H59" s="13" t="str">
        <x:v>&lt; 72,5</x:v>
      </x:c>
      <x:c r="I59" s="13" t="str">
        <x:v>psi</x:v>
      </x:c>
      <x:c r="J59" s="13" t="str">
        <x:f>IF('Carga diaria'!H35="","",'Carga diaria'!H35)</x:f>
      </x:c>
      <x:c r="K59" s="13" t="str">
        <x:f>IF('Carga diaria'!H35="","",'Carga diaria'!H35)</x:f>
      </x:c>
      <x:c r="L59" s="13"/>
      <x:c r="M59" s="13" t="str">
        <x:f>IF('Carga diaria'!H35="","",'Carga diaria'!I35)</x:f>
      </x:c>
      <x:c r="N59" s="13" t="str">
        <x:v>Carga diaria operador</x:v>
      </x:c>
      <x:c r="O59" s="13" t="str">
        <x:v>ptab_26</x:v>
      </x:c>
    </x:row>
    <x:row r="60">
      <x:c r="A60" s="14" t="str">
        <x:f>IF('Carga diaria'!F36="","",'Carga diaria'!$B$3)</x:f>
      </x:c>
      <x:c r="B60" s="13" t="str">
        <x:v>1er Turno</x:v>
      </x:c>
      <x:c r="C60" s="13" t="str">
        <x:v>06:00 am</x:v>
      </x:c>
      <x:c r="D60" s="13" t="str">
        <x:f>IF('Carga diaria'!F36="","",'Carga diaria'!$E$3)</x:f>
      </x:c>
      <x:c r="E60" s="13" t="str">
        <x:v>Agua filtrada</x:v>
      </x:c>
      <x:c r="F60" s="13" t="str">
        <x:v>Filtro Arena N°2</x:v>
      </x:c>
      <x:c r="G60" s="13" t="str">
        <x:v>Caudal Operación (l/s)</x:v>
      </x:c>
      <x:c r="H60" s="13" t="str">
        <x:v>—</x:v>
      </x:c>
      <x:c r="I60" s="13" t="str">
        <x:v>l/s</x:v>
      </x:c>
      <x:c r="J60" s="13" t="str">
        <x:f>IF('Carga diaria'!F36="","",'Carga diaria'!F36)</x:f>
      </x:c>
      <x:c r="K60" s="13" t="str">
        <x:f>IF('Carga diaria'!F36="","",'Carga diaria'!F36)</x:f>
      </x:c>
      <x:c r="L60" s="13"/>
      <x:c r="M60" s="13" t="str">
        <x:f>IF('Carga diaria'!F36="","",'Carga diaria'!G36)</x:f>
      </x:c>
      <x:c r="N60" s="13" t="str">
        <x:v>Carga diaria operador</x:v>
      </x:c>
      <x:c r="O60" s="13" t="str">
        <x:v>ptab_27</x:v>
      </x:c>
    </x:row>
    <x:row r="61">
      <x:c r="A61" s="14" t="str">
        <x:f>IF('Carga diaria'!H36="","",'Carga diaria'!$B$3)</x:f>
      </x:c>
      <x:c r="B61" s="13" t="str">
        <x:v>2do Turno</x:v>
      </x:c>
      <x:c r="C61" s="13" t="str">
        <x:v>06:00 pm</x:v>
      </x:c>
      <x:c r="D61" s="13" t="str">
        <x:f>IF('Carga diaria'!H36="","",'Carga diaria'!$H$3)</x:f>
      </x:c>
      <x:c r="E61" s="13" t="str">
        <x:v>Agua filtrada</x:v>
      </x:c>
      <x:c r="F61" s="13" t="str">
        <x:v>Filtro Arena N°2</x:v>
      </x:c>
      <x:c r="G61" s="13" t="str">
        <x:v>Caudal Operación (l/s)</x:v>
      </x:c>
      <x:c r="H61" s="13" t="str">
        <x:v>—</x:v>
      </x:c>
      <x:c r="I61" s="13" t="str">
        <x:v>l/s</x:v>
      </x:c>
      <x:c r="J61" s="13" t="str">
        <x:f>IF('Carga diaria'!H36="","",'Carga diaria'!H36)</x:f>
      </x:c>
      <x:c r="K61" s="13" t="str">
        <x:f>IF('Carga diaria'!H36="","",'Carga diaria'!H36)</x:f>
      </x:c>
      <x:c r="L61" s="13"/>
      <x:c r="M61" s="13" t="str">
        <x:f>IF('Carga diaria'!H36="","",'Carga diaria'!I36)</x:f>
      </x:c>
      <x:c r="N61" s="13" t="str">
        <x:v>Carga diaria operador</x:v>
      </x:c>
      <x:c r="O61" s="13" t="str">
        <x:v>ptab_27</x:v>
      </x:c>
    </x:row>
    <x:row r="62">
      <x:c r="A62" s="14" t="str">
        <x:f>IF('Carga diaria'!F37="","",'Carga diaria'!$B$3)</x:f>
      </x:c>
      <x:c r="B62" s="13" t="str">
        <x:v>1er Turno</x:v>
      </x:c>
      <x:c r="C62" s="13" t="str">
        <x:v>06:00 am</x:v>
      </x:c>
      <x:c r="D62" s="13" t="str">
        <x:f>IF('Carga diaria'!F37="","",'Carga diaria'!$E$3)</x:f>
      </x:c>
      <x:c r="E62" s="13" t="str">
        <x:v>Agua filtrada</x:v>
      </x:c>
      <x:c r="F62" s="13" t="str">
        <x:v>Filtro Arena N°2</x:v>
      </x:c>
      <x:c r="G62" s="13" t="str">
        <x:v>Turbidez (NTU)</x:v>
      </x:c>
      <x:c r="H62" s="13" t="str">
        <x:v>&lt; 01 N.T.U.</x:v>
      </x:c>
      <x:c r="I62" s="13" t="str">
        <x:v>NTU</x:v>
      </x:c>
      <x:c r="J62" s="13" t="str">
        <x:f>IF('Carga diaria'!F37="","",'Carga diaria'!F37)</x:f>
      </x:c>
      <x:c r="K62" s="13" t="str">
        <x:f>IF('Carga diaria'!F37="","",'Carga diaria'!F37)</x:f>
      </x:c>
      <x:c r="L62" s="13"/>
      <x:c r="M62" s="13" t="str">
        <x:f>IF('Carga diaria'!F37="","",'Carga diaria'!G37)</x:f>
      </x:c>
      <x:c r="N62" s="13" t="str">
        <x:v>Carga diaria operador</x:v>
      </x:c>
      <x:c r="O62" s="13" t="str">
        <x:v>ptab_28</x:v>
      </x:c>
    </x:row>
    <x:row r="63">
      <x:c r="A63" s="14" t="str">
        <x:f>IF('Carga diaria'!H37="","",'Carga diaria'!$B$3)</x:f>
      </x:c>
      <x:c r="B63" s="13" t="str">
        <x:v>2do Turno</x:v>
      </x:c>
      <x:c r="C63" s="13" t="str">
        <x:v>06:00 pm</x:v>
      </x:c>
      <x:c r="D63" s="13" t="str">
        <x:f>IF('Carga diaria'!H37="","",'Carga diaria'!$H$3)</x:f>
      </x:c>
      <x:c r="E63" s="13" t="str">
        <x:v>Agua filtrada</x:v>
      </x:c>
      <x:c r="F63" s="13" t="str">
        <x:v>Filtro Arena N°2</x:v>
      </x:c>
      <x:c r="G63" s="13" t="str">
        <x:v>Turbidez (NTU)</x:v>
      </x:c>
      <x:c r="H63" s="13" t="str">
        <x:v>&lt; 01 N.T.U.</x:v>
      </x:c>
      <x:c r="I63" s="13" t="str">
        <x:v>NTU</x:v>
      </x:c>
      <x:c r="J63" s="13" t="str">
        <x:f>IF('Carga diaria'!H37="","",'Carga diaria'!H37)</x:f>
      </x:c>
      <x:c r="K63" s="13" t="str">
        <x:f>IF('Carga diaria'!H37="","",'Carga diaria'!H37)</x:f>
      </x:c>
      <x:c r="L63" s="13"/>
      <x:c r="M63" s="13" t="str">
        <x:f>IF('Carga diaria'!H37="","",'Carga diaria'!I37)</x:f>
      </x:c>
      <x:c r="N63" s="13" t="str">
        <x:v>Carga diaria operador</x:v>
      </x:c>
      <x:c r="O63" s="13" t="str">
        <x:v>ptab_28</x:v>
      </x:c>
    </x:row>
    <x:row r="64">
      <x:c r="A64" s="14" t="str">
        <x:f>IF('Carga diaria'!F38="","",'Carga diaria'!$B$3)</x:f>
      </x:c>
      <x:c r="B64" s="13" t="str">
        <x:v>1er Turno</x:v>
      </x:c>
      <x:c r="C64" s="13" t="str">
        <x:v>06:00 am</x:v>
      </x:c>
      <x:c r="D64" s="13" t="str">
        <x:f>IF('Carga diaria'!F38="","",'Carga diaria'!$E$3)</x:f>
      </x:c>
      <x:c r="E64" s="13" t="str">
        <x:v>Agua filtrada</x:v>
      </x:c>
      <x:c r="F64" s="13" t="str">
        <x:v>Filtro Arena N°3</x:v>
      </x:c>
      <x:c r="G64" s="13" t="str">
        <x:v>Presión Entrada (psi)</x:v>
      </x:c>
      <x:c r="H64" s="13" t="str">
        <x:v>—</x:v>
      </x:c>
      <x:c r="I64" s="13" t="str">
        <x:v>psi</x:v>
      </x:c>
      <x:c r="J64" s="13" t="str">
        <x:f>IF('Carga diaria'!F38="","",'Carga diaria'!F38)</x:f>
      </x:c>
      <x:c r="K64" s="13" t="str">
        <x:f>IF('Carga diaria'!F38="","",'Carga diaria'!F38)</x:f>
      </x:c>
      <x:c r="L64" s="13"/>
      <x:c r="M64" s="13" t="str">
        <x:f>IF('Carga diaria'!F38="","",'Carga diaria'!G38)</x:f>
      </x:c>
      <x:c r="N64" s="13" t="str">
        <x:v>Carga diaria operador</x:v>
      </x:c>
      <x:c r="O64" s="13" t="str">
        <x:v>ptab_29</x:v>
      </x:c>
    </x:row>
    <x:row r="65">
      <x:c r="A65" s="14" t="str">
        <x:f>IF('Carga diaria'!H38="","",'Carga diaria'!$B$3)</x:f>
      </x:c>
      <x:c r="B65" s="13" t="str">
        <x:v>2do Turno</x:v>
      </x:c>
      <x:c r="C65" s="13" t="str">
        <x:v>06:00 pm</x:v>
      </x:c>
      <x:c r="D65" s="13" t="str">
        <x:f>IF('Carga diaria'!H38="","",'Carga diaria'!$H$3)</x:f>
      </x:c>
      <x:c r="E65" s="13" t="str">
        <x:v>Agua filtrada</x:v>
      </x:c>
      <x:c r="F65" s="13" t="str">
        <x:v>Filtro Arena N°3</x:v>
      </x:c>
      <x:c r="G65" s="13" t="str">
        <x:v>Presión Entrada (psi)</x:v>
      </x:c>
      <x:c r="H65" s="13" t="str">
        <x:v>—</x:v>
      </x:c>
      <x:c r="I65" s="13" t="str">
        <x:v>psi</x:v>
      </x:c>
      <x:c r="J65" s="13" t="str">
        <x:f>IF('Carga diaria'!H38="","",'Carga diaria'!H38)</x:f>
      </x:c>
      <x:c r="K65" s="13" t="str">
        <x:f>IF('Carga diaria'!H38="","",'Carga diaria'!H38)</x:f>
      </x:c>
      <x:c r="L65" s="13"/>
      <x:c r="M65" s="13" t="str">
        <x:f>IF('Carga diaria'!H38="","",'Carga diaria'!I38)</x:f>
      </x:c>
      <x:c r="N65" s="13" t="str">
        <x:v>Carga diaria operador</x:v>
      </x:c>
      <x:c r="O65" s="13" t="str">
        <x:v>ptab_29</x:v>
      </x:c>
    </x:row>
    <x:row r="66">
      <x:c r="A66" s="14" t="str">
        <x:f>IF('Carga diaria'!F39="","",'Carga diaria'!$B$3)</x:f>
      </x:c>
      <x:c r="B66" s="13" t="str">
        <x:v>1er Turno</x:v>
      </x:c>
      <x:c r="C66" s="13" t="str">
        <x:v>06:00 am</x:v>
      </x:c>
      <x:c r="D66" s="13" t="str">
        <x:f>IF('Carga diaria'!F39="","",'Carga diaria'!$E$3)</x:f>
      </x:c>
      <x:c r="E66" s="13" t="str">
        <x:v>Agua filtrada</x:v>
      </x:c>
      <x:c r="F66" s="13" t="str">
        <x:v>Filtro Arena N°3</x:v>
      </x:c>
      <x:c r="G66" s="13" t="str">
        <x:v>Presión de Salida (psi)</x:v>
      </x:c>
      <x:c r="H66" s="13" t="str">
        <x:v>&lt; 72,5</x:v>
      </x:c>
      <x:c r="I66" s="13" t="str">
        <x:v>psi</x:v>
      </x:c>
      <x:c r="J66" s="13" t="str">
        <x:f>IF('Carga diaria'!F39="","",'Carga diaria'!F39)</x:f>
      </x:c>
      <x:c r="K66" s="13" t="str">
        <x:f>IF('Carga diaria'!F39="","",'Carga diaria'!F39)</x:f>
      </x:c>
      <x:c r="L66" s="13"/>
      <x:c r="M66" s="13" t="str">
        <x:f>IF('Carga diaria'!F39="","",'Carga diaria'!G39)</x:f>
      </x:c>
      <x:c r="N66" s="13" t="str">
        <x:v>Carga diaria operador</x:v>
      </x:c>
      <x:c r="O66" s="13" t="str">
        <x:v>ptab_30</x:v>
      </x:c>
    </x:row>
    <x:row r="67">
      <x:c r="A67" s="14" t="str">
        <x:f>IF('Carga diaria'!H39="","",'Carga diaria'!$B$3)</x:f>
      </x:c>
      <x:c r="B67" s="13" t="str">
        <x:v>2do Turno</x:v>
      </x:c>
      <x:c r="C67" s="13" t="str">
        <x:v>06:00 pm</x:v>
      </x:c>
      <x:c r="D67" s="13" t="str">
        <x:f>IF('Carga diaria'!H39="","",'Carga diaria'!$H$3)</x:f>
      </x:c>
      <x:c r="E67" s="13" t="str">
        <x:v>Agua filtrada</x:v>
      </x:c>
      <x:c r="F67" s="13" t="str">
        <x:v>Filtro Arena N°3</x:v>
      </x:c>
      <x:c r="G67" s="13" t="str">
        <x:v>Presión de Salida (psi)</x:v>
      </x:c>
      <x:c r="H67" s="13" t="str">
        <x:v>&lt; 72,5</x:v>
      </x:c>
      <x:c r="I67" s="13" t="str">
        <x:v>psi</x:v>
      </x:c>
      <x:c r="J67" s="13" t="str">
        <x:f>IF('Carga diaria'!H39="","",'Carga diaria'!H39)</x:f>
      </x:c>
      <x:c r="K67" s="13" t="str">
        <x:f>IF('Carga diaria'!H39="","",'Carga diaria'!H39)</x:f>
      </x:c>
      <x:c r="L67" s="13"/>
      <x:c r="M67" s="13" t="str">
        <x:f>IF('Carga diaria'!H39="","",'Carga diaria'!I39)</x:f>
      </x:c>
      <x:c r="N67" s="13" t="str">
        <x:v>Carga diaria operador</x:v>
      </x:c>
      <x:c r="O67" s="13" t="str">
        <x:v>ptab_30</x:v>
      </x:c>
    </x:row>
    <x:row r="68">
      <x:c r="A68" s="14" t="str">
        <x:f>IF('Carga diaria'!F40="","",'Carga diaria'!$B$3)</x:f>
      </x:c>
      <x:c r="B68" s="13" t="str">
        <x:v>1er Turno</x:v>
      </x:c>
      <x:c r="C68" s="13" t="str">
        <x:v>06:00 am</x:v>
      </x:c>
      <x:c r="D68" s="13" t="str">
        <x:f>IF('Carga diaria'!F40="","",'Carga diaria'!$E$3)</x:f>
      </x:c>
      <x:c r="E68" s="13" t="str">
        <x:v>Agua filtrada</x:v>
      </x:c>
      <x:c r="F68" s="13" t="str">
        <x:v>Filtro Arena N°3</x:v>
      </x:c>
      <x:c r="G68" s="13" t="str">
        <x:v>Caudal Operación (l/s)</x:v>
      </x:c>
      <x:c r="H68" s="13" t="str">
        <x:v>—</x:v>
      </x:c>
      <x:c r="I68" s="13" t="str">
        <x:v>l/s</x:v>
      </x:c>
      <x:c r="J68" s="13" t="str">
        <x:f>IF('Carga diaria'!F40="","",'Carga diaria'!F40)</x:f>
      </x:c>
      <x:c r="K68" s="13" t="str">
        <x:f>IF('Carga diaria'!F40="","",'Carga diaria'!F40)</x:f>
      </x:c>
      <x:c r="L68" s="13"/>
      <x:c r="M68" s="13" t="str">
        <x:f>IF('Carga diaria'!F40="","",'Carga diaria'!G40)</x:f>
      </x:c>
      <x:c r="N68" s="13" t="str">
        <x:v>Carga diaria operador</x:v>
      </x:c>
      <x:c r="O68" s="13" t="str">
        <x:v>ptab_31</x:v>
      </x:c>
    </x:row>
    <x:row r="69">
      <x:c r="A69" s="14" t="str">
        <x:f>IF('Carga diaria'!H40="","",'Carga diaria'!$B$3)</x:f>
      </x:c>
      <x:c r="B69" s="13" t="str">
        <x:v>2do Turno</x:v>
      </x:c>
      <x:c r="C69" s="13" t="str">
        <x:v>06:00 pm</x:v>
      </x:c>
      <x:c r="D69" s="13" t="str">
        <x:f>IF('Carga diaria'!H40="","",'Carga diaria'!$H$3)</x:f>
      </x:c>
      <x:c r="E69" s="13" t="str">
        <x:v>Agua filtrada</x:v>
      </x:c>
      <x:c r="F69" s="13" t="str">
        <x:v>Filtro Arena N°3</x:v>
      </x:c>
      <x:c r="G69" s="13" t="str">
        <x:v>Caudal Operación (l/s)</x:v>
      </x:c>
      <x:c r="H69" s="13" t="str">
        <x:v>—</x:v>
      </x:c>
      <x:c r="I69" s="13" t="str">
        <x:v>l/s</x:v>
      </x:c>
      <x:c r="J69" s="13" t="str">
        <x:f>IF('Carga diaria'!H40="","",'Carga diaria'!H40)</x:f>
      </x:c>
      <x:c r="K69" s="13" t="str">
        <x:f>IF('Carga diaria'!H40="","",'Carga diaria'!H40)</x:f>
      </x:c>
      <x:c r="L69" s="13"/>
      <x:c r="M69" s="13" t="str">
        <x:f>IF('Carga diaria'!H40="","",'Carga diaria'!I40)</x:f>
      </x:c>
      <x:c r="N69" s="13" t="str">
        <x:v>Carga diaria operador</x:v>
      </x:c>
      <x:c r="O69" s="13" t="str">
        <x:v>ptab_31</x:v>
      </x:c>
    </x:row>
    <x:row r="70">
      <x:c r="A70" s="14" t="str">
        <x:f>IF('Carga diaria'!F41="","",'Carga diaria'!$B$3)</x:f>
      </x:c>
      <x:c r="B70" s="13" t="str">
        <x:v>1er Turno</x:v>
      </x:c>
      <x:c r="C70" s="13" t="str">
        <x:v>06:00 am</x:v>
      </x:c>
      <x:c r="D70" s="13" t="str">
        <x:f>IF('Carga diaria'!F41="","",'Carga diaria'!$E$3)</x:f>
      </x:c>
      <x:c r="E70" s="13" t="str">
        <x:v>Agua filtrada</x:v>
      </x:c>
      <x:c r="F70" s="13" t="str">
        <x:v>Filtro Arena N°3</x:v>
      </x:c>
      <x:c r="G70" s="13" t="str">
        <x:v>Turbidez (NTU)</x:v>
      </x:c>
      <x:c r="H70" s="13" t="str">
        <x:v>&lt; 01 N.T.U.</x:v>
      </x:c>
      <x:c r="I70" s="13" t="str">
        <x:v>NTU</x:v>
      </x:c>
      <x:c r="J70" s="13" t="str">
        <x:f>IF('Carga diaria'!F41="","",'Carga diaria'!F41)</x:f>
      </x:c>
      <x:c r="K70" s="13" t="str">
        <x:f>IF('Carga diaria'!F41="","",'Carga diaria'!F41)</x:f>
      </x:c>
      <x:c r="L70" s="13"/>
      <x:c r="M70" s="13" t="str">
        <x:f>IF('Carga diaria'!F41="","",'Carga diaria'!G41)</x:f>
      </x:c>
      <x:c r="N70" s="13" t="str">
        <x:v>Carga diaria operador</x:v>
      </x:c>
      <x:c r="O70" s="13" t="str">
        <x:v>ptab_32</x:v>
      </x:c>
    </x:row>
    <x:row r="71">
      <x:c r="A71" s="14" t="str">
        <x:f>IF('Carga diaria'!H41="","",'Carga diaria'!$B$3)</x:f>
      </x:c>
      <x:c r="B71" s="13" t="str">
        <x:v>2do Turno</x:v>
      </x:c>
      <x:c r="C71" s="13" t="str">
        <x:v>06:00 pm</x:v>
      </x:c>
      <x:c r="D71" s="13" t="str">
        <x:f>IF('Carga diaria'!H41="","",'Carga diaria'!$H$3)</x:f>
      </x:c>
      <x:c r="E71" s="13" t="str">
        <x:v>Agua filtrada</x:v>
      </x:c>
      <x:c r="F71" s="13" t="str">
        <x:v>Filtro Arena N°3</x:v>
      </x:c>
      <x:c r="G71" s="13" t="str">
        <x:v>Turbidez (NTU)</x:v>
      </x:c>
      <x:c r="H71" s="13" t="str">
        <x:v>&lt; 01 N.T.U.</x:v>
      </x:c>
      <x:c r="I71" s="13" t="str">
        <x:v>NTU</x:v>
      </x:c>
      <x:c r="J71" s="13" t="str">
        <x:f>IF('Carga diaria'!H41="","",'Carga diaria'!H41)</x:f>
      </x:c>
      <x:c r="K71" s="13" t="str">
        <x:f>IF('Carga diaria'!H41="","",'Carga diaria'!H41)</x:f>
      </x:c>
      <x:c r="L71" s="13"/>
      <x:c r="M71" s="13" t="str">
        <x:f>IF('Carga diaria'!H41="","",'Carga diaria'!I41)</x:f>
      </x:c>
      <x:c r="N71" s="13" t="str">
        <x:v>Carga diaria operador</x:v>
      </x:c>
      <x:c r="O71" s="13" t="str">
        <x:v>ptab_32</x:v>
      </x:c>
    </x:row>
    <x:row r="72">
      <x:c r="A72" s="14" t="str">
        <x:f>IF('Carga diaria'!F42="","",'Carga diaria'!$B$3)</x:f>
      </x:c>
      <x:c r="B72" s="13" t="str">
        <x:v>1er Turno</x:v>
      </x:c>
      <x:c r="C72" s="13" t="str">
        <x:v>06:00 am</x:v>
      </x:c>
      <x:c r="D72" s="13" t="str">
        <x:f>IF('Carga diaria'!F42="","",'Carga diaria'!$E$3)</x:f>
      </x:c>
      <x:c r="E72" s="13" t="str">
        <x:v>Agua filtrada</x:v>
      </x:c>
      <x:c r="F72" s="13" t="str">
        <x:v>Filtro Arena N°4</x:v>
      </x:c>
      <x:c r="G72" s="13" t="str">
        <x:v>Presión Entrada (psi)</x:v>
      </x:c>
      <x:c r="H72" s="13" t="str">
        <x:v>—</x:v>
      </x:c>
      <x:c r="I72" s="13" t="str">
        <x:v>psi</x:v>
      </x:c>
      <x:c r="J72" s="13" t="str">
        <x:f>IF('Carga diaria'!F42="","",'Carga diaria'!F42)</x:f>
      </x:c>
      <x:c r="K72" s="13" t="str">
        <x:f>IF('Carga diaria'!F42="","",'Carga diaria'!F42)</x:f>
      </x:c>
      <x:c r="L72" s="13"/>
      <x:c r="M72" s="13" t="str">
        <x:f>IF('Carga diaria'!F42="","",'Carga diaria'!G42)</x:f>
      </x:c>
      <x:c r="N72" s="13" t="str">
        <x:v>Carga diaria operador</x:v>
      </x:c>
      <x:c r="O72" s="13" t="str">
        <x:v>ptab_33</x:v>
      </x:c>
    </x:row>
    <x:row r="73">
      <x:c r="A73" s="14" t="str">
        <x:f>IF('Carga diaria'!H42="","",'Carga diaria'!$B$3)</x:f>
      </x:c>
      <x:c r="B73" s="13" t="str">
        <x:v>2do Turno</x:v>
      </x:c>
      <x:c r="C73" s="13" t="str">
        <x:v>06:00 pm</x:v>
      </x:c>
      <x:c r="D73" s="13" t="str">
        <x:f>IF('Carga diaria'!H42="","",'Carga diaria'!$H$3)</x:f>
      </x:c>
      <x:c r="E73" s="13" t="str">
        <x:v>Agua filtrada</x:v>
      </x:c>
      <x:c r="F73" s="13" t="str">
        <x:v>Filtro Arena N°4</x:v>
      </x:c>
      <x:c r="G73" s="13" t="str">
        <x:v>Presión Entrada (psi)</x:v>
      </x:c>
      <x:c r="H73" s="13" t="str">
        <x:v>—</x:v>
      </x:c>
      <x:c r="I73" s="13" t="str">
        <x:v>psi</x:v>
      </x:c>
      <x:c r="J73" s="13" t="str">
        <x:f>IF('Carga diaria'!H42="","",'Carga diaria'!H42)</x:f>
      </x:c>
      <x:c r="K73" s="13" t="str">
        <x:f>IF('Carga diaria'!H42="","",'Carga diaria'!H42)</x:f>
      </x:c>
      <x:c r="L73" s="13"/>
      <x:c r="M73" s="13" t="str">
        <x:f>IF('Carga diaria'!H42="","",'Carga diaria'!I42)</x:f>
      </x:c>
      <x:c r="N73" s="13" t="str">
        <x:v>Carga diaria operador</x:v>
      </x:c>
      <x:c r="O73" s="13" t="str">
        <x:v>ptab_33</x:v>
      </x:c>
    </x:row>
    <x:row r="74">
      <x:c r="A74" s="14" t="str">
        <x:f>IF('Carga diaria'!F43="","",'Carga diaria'!$B$3)</x:f>
      </x:c>
      <x:c r="B74" s="13" t="str">
        <x:v>1er Turno</x:v>
      </x:c>
      <x:c r="C74" s="13" t="str">
        <x:v>06:00 am</x:v>
      </x:c>
      <x:c r="D74" s="13" t="str">
        <x:f>IF('Carga diaria'!F43="","",'Carga diaria'!$E$3)</x:f>
      </x:c>
      <x:c r="E74" s="13" t="str">
        <x:v>Agua filtrada</x:v>
      </x:c>
      <x:c r="F74" s="13" t="str">
        <x:v>Filtro Arena N°4</x:v>
      </x:c>
      <x:c r="G74" s="13" t="str">
        <x:v>Presión de Salida (psi)</x:v>
      </x:c>
      <x:c r="H74" s="13" t="str">
        <x:v>&lt; 72,5</x:v>
      </x:c>
      <x:c r="I74" s="13" t="str">
        <x:v>psi</x:v>
      </x:c>
      <x:c r="J74" s="13" t="str">
        <x:f>IF('Carga diaria'!F43="","",'Carga diaria'!F43)</x:f>
      </x:c>
      <x:c r="K74" s="13" t="str">
        <x:f>IF('Carga diaria'!F43="","",'Carga diaria'!F43)</x:f>
      </x:c>
      <x:c r="L74" s="13"/>
      <x:c r="M74" s="13" t="str">
        <x:f>IF('Carga diaria'!F43="","",'Carga diaria'!G43)</x:f>
      </x:c>
      <x:c r="N74" s="13" t="str">
        <x:v>Carga diaria operador</x:v>
      </x:c>
      <x:c r="O74" s="13" t="str">
        <x:v>ptab_34</x:v>
      </x:c>
    </x:row>
    <x:row r="75">
      <x:c r="A75" s="14" t="str">
        <x:f>IF('Carga diaria'!H43="","",'Carga diaria'!$B$3)</x:f>
      </x:c>
      <x:c r="B75" s="13" t="str">
        <x:v>2do Turno</x:v>
      </x:c>
      <x:c r="C75" s="13" t="str">
        <x:v>06:00 pm</x:v>
      </x:c>
      <x:c r="D75" s="13" t="str">
        <x:f>IF('Carga diaria'!H43="","",'Carga diaria'!$H$3)</x:f>
      </x:c>
      <x:c r="E75" s="13" t="str">
        <x:v>Agua filtrada</x:v>
      </x:c>
      <x:c r="F75" s="13" t="str">
        <x:v>Filtro Arena N°4</x:v>
      </x:c>
      <x:c r="G75" s="13" t="str">
        <x:v>Presión de Salida (psi)</x:v>
      </x:c>
      <x:c r="H75" s="13" t="str">
        <x:v>&lt; 72,5</x:v>
      </x:c>
      <x:c r="I75" s="13" t="str">
        <x:v>psi</x:v>
      </x:c>
      <x:c r="J75" s="13" t="str">
        <x:f>IF('Carga diaria'!H43="","",'Carga diaria'!H43)</x:f>
      </x:c>
      <x:c r="K75" s="13" t="str">
        <x:f>IF('Carga diaria'!H43="","",'Carga diaria'!H43)</x:f>
      </x:c>
      <x:c r="L75" s="13"/>
      <x:c r="M75" s="13" t="str">
        <x:f>IF('Carga diaria'!H43="","",'Carga diaria'!I43)</x:f>
      </x:c>
      <x:c r="N75" s="13" t="str">
        <x:v>Carga diaria operador</x:v>
      </x:c>
      <x:c r="O75" s="13" t="str">
        <x:v>ptab_34</x:v>
      </x:c>
    </x:row>
    <x:row r="76">
      <x:c r="A76" s="14" t="str">
        <x:f>IF('Carga diaria'!F44="","",'Carga diaria'!$B$3)</x:f>
      </x:c>
      <x:c r="B76" s="13" t="str">
        <x:v>1er Turno</x:v>
      </x:c>
      <x:c r="C76" s="13" t="str">
        <x:v>06:00 am</x:v>
      </x:c>
      <x:c r="D76" s="13" t="str">
        <x:f>IF('Carga diaria'!F44="","",'Carga diaria'!$E$3)</x:f>
      </x:c>
      <x:c r="E76" s="13" t="str">
        <x:v>Agua filtrada</x:v>
      </x:c>
      <x:c r="F76" s="13" t="str">
        <x:v>Filtro Arena N°4</x:v>
      </x:c>
      <x:c r="G76" s="13" t="str">
        <x:v>Caudal Operación (l/s)</x:v>
      </x:c>
      <x:c r="H76" s="13" t="str">
        <x:v>—</x:v>
      </x:c>
      <x:c r="I76" s="13" t="str">
        <x:v>l/s</x:v>
      </x:c>
      <x:c r="J76" s="13" t="str">
        <x:f>IF('Carga diaria'!F44="","",'Carga diaria'!F44)</x:f>
      </x:c>
      <x:c r="K76" s="13" t="str">
        <x:f>IF('Carga diaria'!F44="","",'Carga diaria'!F44)</x:f>
      </x:c>
      <x:c r="L76" s="13"/>
      <x:c r="M76" s="13" t="str">
        <x:f>IF('Carga diaria'!F44="","",'Carga diaria'!G44)</x:f>
      </x:c>
      <x:c r="N76" s="13" t="str">
        <x:v>Carga diaria operador</x:v>
      </x:c>
      <x:c r="O76" s="13" t="str">
        <x:v>ptab_35</x:v>
      </x:c>
    </x:row>
    <x:row r="77">
      <x:c r="A77" s="14" t="str">
        <x:f>IF('Carga diaria'!H44="","",'Carga diaria'!$B$3)</x:f>
      </x:c>
      <x:c r="B77" s="13" t="str">
        <x:v>2do Turno</x:v>
      </x:c>
      <x:c r="C77" s="13" t="str">
        <x:v>06:00 pm</x:v>
      </x:c>
      <x:c r="D77" s="13" t="str">
        <x:f>IF('Carga diaria'!H44="","",'Carga diaria'!$H$3)</x:f>
      </x:c>
      <x:c r="E77" s="13" t="str">
        <x:v>Agua filtrada</x:v>
      </x:c>
      <x:c r="F77" s="13" t="str">
        <x:v>Filtro Arena N°4</x:v>
      </x:c>
      <x:c r="G77" s="13" t="str">
        <x:v>Caudal Operación (l/s)</x:v>
      </x:c>
      <x:c r="H77" s="13" t="str">
        <x:v>—</x:v>
      </x:c>
      <x:c r="I77" s="13" t="str">
        <x:v>l/s</x:v>
      </x:c>
      <x:c r="J77" s="13" t="str">
        <x:f>IF('Carga diaria'!H44="","",'Carga diaria'!H44)</x:f>
      </x:c>
      <x:c r="K77" s="13" t="str">
        <x:f>IF('Carga diaria'!H44="","",'Carga diaria'!H44)</x:f>
      </x:c>
      <x:c r="L77" s="13"/>
      <x:c r="M77" s="13" t="str">
        <x:f>IF('Carga diaria'!H44="","",'Carga diaria'!I44)</x:f>
      </x:c>
      <x:c r="N77" s="13" t="str">
        <x:v>Carga diaria operador</x:v>
      </x:c>
      <x:c r="O77" s="13" t="str">
        <x:v>ptab_35</x:v>
      </x:c>
    </x:row>
    <x:row r="78">
      <x:c r="A78" s="14" t="str">
        <x:f>IF('Carga diaria'!F45="","",'Carga diaria'!$B$3)</x:f>
      </x:c>
      <x:c r="B78" s="13" t="str">
        <x:v>1er Turno</x:v>
      </x:c>
      <x:c r="C78" s="13" t="str">
        <x:v>06:00 am</x:v>
      </x:c>
      <x:c r="D78" s="13" t="str">
        <x:f>IF('Carga diaria'!F45="","",'Carga diaria'!$E$3)</x:f>
      </x:c>
      <x:c r="E78" s="13" t="str">
        <x:v>Agua filtrada</x:v>
      </x:c>
      <x:c r="F78" s="13" t="str">
        <x:v>Filtro Arena N°4</x:v>
      </x:c>
      <x:c r="G78" s="13" t="str">
        <x:v>Turbidez (NTU)</x:v>
      </x:c>
      <x:c r="H78" s="13" t="str">
        <x:v>&lt; 01 N.T.U.</x:v>
      </x:c>
      <x:c r="I78" s="13" t="str">
        <x:v>NTU</x:v>
      </x:c>
      <x:c r="J78" s="13" t="str">
        <x:f>IF('Carga diaria'!F45="","",'Carga diaria'!F45)</x:f>
      </x:c>
      <x:c r="K78" s="13" t="str">
        <x:f>IF('Carga diaria'!F45="","",'Carga diaria'!F45)</x:f>
      </x:c>
      <x:c r="L78" s="13"/>
      <x:c r="M78" s="13" t="str">
        <x:f>IF('Carga diaria'!F45="","",'Carga diaria'!G45)</x:f>
      </x:c>
      <x:c r="N78" s="13" t="str">
        <x:v>Carga diaria operador</x:v>
      </x:c>
      <x:c r="O78" s="13" t="str">
        <x:v>ptab_36</x:v>
      </x:c>
    </x:row>
    <x:row r="79">
      <x:c r="A79" s="14" t="str">
        <x:f>IF('Carga diaria'!H45="","",'Carga diaria'!$B$3)</x:f>
      </x:c>
      <x:c r="B79" s="13" t="str">
        <x:v>2do Turno</x:v>
      </x:c>
      <x:c r="C79" s="13" t="str">
        <x:v>06:00 pm</x:v>
      </x:c>
      <x:c r="D79" s="13" t="str">
        <x:f>IF('Carga diaria'!H45="","",'Carga diaria'!$H$3)</x:f>
      </x:c>
      <x:c r="E79" s="13" t="str">
        <x:v>Agua filtrada</x:v>
      </x:c>
      <x:c r="F79" s="13" t="str">
        <x:v>Filtro Arena N°4</x:v>
      </x:c>
      <x:c r="G79" s="13" t="str">
        <x:v>Turbidez (NTU)</x:v>
      </x:c>
      <x:c r="H79" s="13" t="str">
        <x:v>&lt; 01 N.T.U.</x:v>
      </x:c>
      <x:c r="I79" s="13" t="str">
        <x:v>NTU</x:v>
      </x:c>
      <x:c r="J79" s="13" t="str">
        <x:f>IF('Carga diaria'!H45="","",'Carga diaria'!H45)</x:f>
      </x:c>
      <x:c r="K79" s="13" t="str">
        <x:f>IF('Carga diaria'!H45="","",'Carga diaria'!H45)</x:f>
      </x:c>
      <x:c r="L79" s="13"/>
      <x:c r="M79" s="13" t="str">
        <x:f>IF('Carga diaria'!H45="","",'Carga diaria'!I45)</x:f>
      </x:c>
      <x:c r="N79" s="13" t="str">
        <x:v>Carga diaria operador</x:v>
      </x:c>
      <x:c r="O79" s="13" t="str">
        <x:v>ptab_36</x:v>
      </x:c>
    </x:row>
    <x:row r="80">
      <x:c r="A80" s="180" t="str">
        <x:f>IF('Carga diaria'!F46="","",'Carga diaria'!$B$3)</x:f>
      </x:c>
      <x:c r="B80" s="180" t="str">
        <x:v>1er Turno</x:v>
      </x:c>
      <x:c r="C80" s="180" t="str">
        <x:v>06:00 am</x:v>
      </x:c>
      <x:c r="D80" s="180" t="str">
        <x:f>IF('Carga diaria'!F46="","",'Carga diaria'!$E$3)</x:f>
      </x:c>
      <x:c r="E80" s="180" t="str">
        <x:v>Agua filtrada</x:v>
      </x:c>
      <x:c r="F80" s="180" t="str">
        <x:v>Tanque Elevado</x:v>
      </x:c>
      <x:c r="G80" s="180" t="str">
        <x:v>Cloro Libre (mg/L)</x:v>
      </x:c>
      <x:c r="H80" s="180" t="str">
        <x:v>0,5 - 1,0 mg/L</x:v>
      </x:c>
      <x:c r="I80" s="180" t="str">
        <x:v>mg/L</x:v>
      </x:c>
      <x:c r="J80" s="180" t="str">
        <x:f>IF('Carga diaria'!F46="","",'Carga diaria'!F46)</x:f>
      </x:c>
      <x:c r="K80" s="180" t="str">
        <x:f>IF('Carga diaria'!F46="","",'Carga diaria'!F46)</x:f>
      </x:c>
      <x:c r="L80" s="180"/>
      <x:c r="M80" s="180" t="str">
        <x:f>IF('Carga diaria'!F46="","",'Carga diaria'!G46)</x:f>
      </x:c>
      <x:c r="N80" s="180" t="str">
        <x:v>Carga diaria operador</x:v>
      </x:c>
      <x:c r="O80" s="180" t="str">
        <x:v>ptab_37</x:v>
      </x:c>
    </x:row>
    <x:row r="81">
      <x:c r="A81" s="180" t="str">
        <x:f>IF('Carga diaria'!H46="","",'Carga diaria'!$B$3)</x:f>
      </x:c>
      <x:c r="B81" s="180" t="str">
        <x:v>2do Turno</x:v>
      </x:c>
      <x:c r="C81" s="180" t="str">
        <x:v>06:00 pm</x:v>
      </x:c>
      <x:c r="D81" s="180" t="str">
        <x:f>IF('Carga diaria'!H46="","",'Carga diaria'!$H$3)</x:f>
      </x:c>
      <x:c r="E81" s="180" t="str">
        <x:v>Agua filtrada</x:v>
      </x:c>
      <x:c r="F81" s="180" t="str">
        <x:v>Tanque Elevado</x:v>
      </x:c>
      <x:c r="G81" s="180" t="str">
        <x:v>Cloro Libre (mg/L)</x:v>
      </x:c>
      <x:c r="H81" s="180" t="str">
        <x:v>0,5 - 1,0 mg/L</x:v>
      </x:c>
      <x:c r="I81" s="180" t="str">
        <x:v>mg/L</x:v>
      </x:c>
      <x:c r="J81" s="180" t="str">
        <x:f>IF('Carga diaria'!H46="","",'Carga diaria'!H46)</x:f>
      </x:c>
      <x:c r="K81" s="180" t="str">
        <x:f>IF('Carga diaria'!H46="","",'Carga diaria'!H46)</x:f>
      </x:c>
      <x:c r="L81" s="180"/>
      <x:c r="M81" s="180" t="str">
        <x:f>IF('Carga diaria'!H46="","",'Carga diaria'!I46)</x:f>
      </x:c>
      <x:c r="N81" s="180" t="str">
        <x:v>Carga diaria operador</x:v>
      </x:c>
      <x:c r="O81" s="180" t="str">
        <x:v>ptab_37</x:v>
      </x:c>
    </x:row>
    <x:row r="82">
      <x:c r="A82" s="180" t="str">
        <x:f>IF('Carga diaria'!F47="","",'Carga diaria'!$B$3)</x:f>
      </x:c>
      <x:c r="B82" s="180" t="str">
        <x:v>1er Turno</x:v>
      </x:c>
      <x:c r="C82" s="180" t="str">
        <x:v>06:00 am</x:v>
      </x:c>
      <x:c r="D82" s="180" t="str">
        <x:f>IF('Carga diaria'!F47="","",'Carga diaria'!$E$3)</x:f>
      </x:c>
      <x:c r="E82" s="180" t="str">
        <x:v>Agua filtrada</x:v>
      </x:c>
      <x:c r="F82" s="180" t="str">
        <x:v>Tanque Elevado</x:v>
      </x:c>
      <x:c r="G82" s="180" t="str">
        <x:v>Hierro (mg/L)</x:v>
      </x:c>
      <x:c r="H82" s="180" t="str">
        <x:v>&lt; 0,3 mg/L</x:v>
      </x:c>
      <x:c r="I82" s="180" t="str">
        <x:v>mg/L</x:v>
      </x:c>
      <x:c r="J82" s="180" t="str">
        <x:f>IF('Carga diaria'!F47="","",'Carga diaria'!F47)</x:f>
      </x:c>
      <x:c r="K82" s="180" t="str">
        <x:f>IF('Carga diaria'!F47="","",'Carga diaria'!F47)</x:f>
      </x:c>
      <x:c r="L82" s="180"/>
      <x:c r="M82" s="180" t="str">
        <x:f>IF('Carga diaria'!F47="","",'Carga diaria'!G47)</x:f>
      </x:c>
      <x:c r="N82" s="180" t="str">
        <x:v>Carga diaria operador</x:v>
      </x:c>
      <x:c r="O82" s="180" t="str">
        <x:v>ptab_38</x:v>
      </x:c>
    </x:row>
    <x:row r="83">
      <x:c r="A83" s="180" t="str">
        <x:f>IF('Carga diaria'!H47="","",'Carga diaria'!$B$3)</x:f>
      </x:c>
      <x:c r="B83" s="180" t="str">
        <x:v>2do Turno</x:v>
      </x:c>
      <x:c r="C83" s="180" t="str">
        <x:v>06:00 pm</x:v>
      </x:c>
      <x:c r="D83" s="180" t="str">
        <x:f>IF('Carga diaria'!H47="","",'Carga diaria'!$H$3)</x:f>
      </x:c>
      <x:c r="E83" s="180" t="str">
        <x:v>Agua filtrada</x:v>
      </x:c>
      <x:c r="F83" s="180" t="str">
        <x:v>Tanque Elevado</x:v>
      </x:c>
      <x:c r="G83" s="180" t="str">
        <x:v>Hierro (mg/L)</x:v>
      </x:c>
      <x:c r="H83" s="180" t="str">
        <x:v>&lt; 0,3 mg/L</x:v>
      </x:c>
      <x:c r="I83" s="180" t="str">
        <x:v>mg/L</x:v>
      </x:c>
      <x:c r="J83" s="180" t="str">
        <x:f>IF('Carga diaria'!H47="","",'Carga diaria'!H47)</x:f>
      </x:c>
      <x:c r="K83" s="180" t="str">
        <x:f>IF('Carga diaria'!H47="","",'Carga diaria'!H47)</x:f>
      </x:c>
      <x:c r="L83" s="180"/>
      <x:c r="M83" s="180" t="str">
        <x:f>IF('Carga diaria'!H47="","",'Carga diaria'!I47)</x:f>
      </x:c>
      <x:c r="N83" s="180" t="str">
        <x:v>Carga diaria operador</x:v>
      </x:c>
      <x:c r="O83" s="180" t="str">
        <x:v>ptab_38</x:v>
      </x:c>
    </x:row>
    <x:row r="84">
      <x:c r="A84" s="180" t="str">
        <x:f>IF('Carga diaria'!F48="","",'Carga diaria'!$B$3)</x:f>
      </x:c>
      <x:c r="B84" s="180" t="str">
        <x:v>1er Turno</x:v>
      </x:c>
      <x:c r="C84" s="180" t="str">
        <x:v>06:00 am</x:v>
      </x:c>
      <x:c r="D84" s="180" t="str">
        <x:f>IF('Carga diaria'!F48="","",'Carga diaria'!$E$3)</x:f>
      </x:c>
      <x:c r="E84" s="180" t="str">
        <x:v>Agua filtrada</x:v>
      </x:c>
      <x:c r="F84" s="180" t="str">
        <x:v>Tanque Elevado</x:v>
      </x:c>
      <x:c r="G84" s="180" t="str">
        <x:v>Turbidez (NTU)</x:v>
      </x:c>
      <x:c r="H84" s="180" t="str">
        <x:v>&lt; 01 N.T.U.</x:v>
      </x:c>
      <x:c r="I84" s="180" t="str">
        <x:v>NTU</x:v>
      </x:c>
      <x:c r="J84" s="180" t="str">
        <x:f>IF('Carga diaria'!F48="","",'Carga diaria'!F48)</x:f>
      </x:c>
      <x:c r="K84" s="180" t="str">
        <x:f>IF('Carga diaria'!F48="","",'Carga diaria'!F48)</x:f>
      </x:c>
      <x:c r="L84" s="180"/>
      <x:c r="M84" s="180" t="str">
        <x:f>IF('Carga diaria'!F48="","",'Carga diaria'!G48)</x:f>
      </x:c>
      <x:c r="N84" s="180" t="str">
        <x:v>Carga diaria operador</x:v>
      </x:c>
      <x:c r="O84" s="180" t="str">
        <x:v>ptab_39</x:v>
      </x:c>
    </x:row>
    <x:row r="85">
      <x:c r="A85" s="181" t="str">
        <x:f>IF('Carga diaria'!H48="","",'Carga diaria'!$B$3)</x:f>
      </x:c>
      <x:c r="B85" s="181" t="str">
        <x:v>2do Turno</x:v>
      </x:c>
      <x:c r="C85" s="181" t="str">
        <x:v>06:00 pm</x:v>
      </x:c>
      <x:c r="D85" s="181" t="str">
        <x:f>IF('Carga diaria'!H48="","",'Carga diaria'!$H$3)</x:f>
      </x:c>
      <x:c r="E85" s="181" t="str">
        <x:v>Agua filtrada</x:v>
      </x:c>
      <x:c r="F85" s="181" t="str">
        <x:v>Tanque Elevado</x:v>
      </x:c>
      <x:c r="G85" s="181" t="str">
        <x:v>Turbidez (NTU)</x:v>
      </x:c>
      <x:c r="H85" s="181" t="str">
        <x:v>&lt; 01 N.T.U.</x:v>
      </x:c>
      <x:c r="I85" s="181" t="str">
        <x:v>NTU</x:v>
      </x:c>
      <x:c r="J85" s="181" t="str">
        <x:f>IF('Carga diaria'!H48="","",'Carga diaria'!H48)</x:f>
      </x:c>
      <x:c r="K85" s="181" t="str">
        <x:f>IF('Carga diaria'!H48="","",'Carga diaria'!H48)</x:f>
      </x:c>
      <x:c r="L85" s="181"/>
      <x:c r="M85" s="181" t="str">
        <x:f>IF('Carga diaria'!H48="","",'Carga diaria'!I48)</x:f>
      </x:c>
      <x:c r="N85" s="181" t="str">
        <x:v>Carga diaria operador</x:v>
      </x:c>
      <x:c r="O85" s="181" t="str">
        <x:v>ptab_39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78" customWidth="1"/>
  </x:cols>
  <x:sheetData>
    <x:row r="1" ht="19.200000762939453">
      <x:c r="A1" s="21" t="s">
        <x:v>29</x:v>
      </x:c>
      <x:c r="B1" s="21"/>
      <x:c r="C1" s="21"/>
      <x:c r="D1" s="21"/>
      <x:c r="E1" s="21"/>
      <x:c r="F1" s="21"/>
    </x:row>
    <x:row r="3">
      <x:c r="A3" s="5" t="s">
        <x:v>30</x:v>
      </x:c>
      <x:c r="B3" s="5" t="s">
        <x:v>31</x:v>
      </x:c>
    </x:row>
    <x:row r="4">
      <x:c r="A4" s="16" t="s">
        <x:v>32</x:v>
      </x:c>
      <x:c r="B4" s="16" t="s">
        <x:v>33</x:v>
      </x:c>
    </x:row>
    <x:row r="5">
      <x:c r="A5" s="16" t="s">
        <x:v>34</x:v>
      </x:c>
      <x:c r="B5" s="16" t="s">
        <x:v>35</x:v>
      </x:c>
    </x:row>
    <x:row r="6" ht="27.600000381469727">
      <x:c r="A6" s="16" t="s">
        <x:v>36</x:v>
      </x:c>
      <x:c r="B6" s="16" t="s">
        <x:v>37</x:v>
      </x:c>
    </x:row>
    <x:row r="7" ht="27.600000381469727">
      <x:c r="A7" s="16" t="s">
        <x:v>38</x:v>
      </x:c>
      <x:c r="B7" s="16" t="s">
        <x:v>39</x:v>
      </x:c>
    </x:row>
    <x:row r="8" ht="27.600000381469727">
      <x:c r="A8" s="16" t="s">
        <x:v>40</x:v>
      </x:c>
      <x:c r="B8" s="16" t="s">
        <x:v>41</x:v>
      </x:c>
    </x:row>
    <x:row r="9">
      <x:c r="A9" s="16" t="s">
        <x:v>42</x:v>
      </x:c>
      <x:c r="B9" s="16" t="s">
        <x:v>43</x:v>
      </x:c>
    </x:row>
    <x:row r="10" ht="36" customHeight="1">
      <x:c r="A10" s="16" t="s">
        <x:v>44</x:v>
      </x:c>
      <x:c r="B10" s="16" t="s">
        <x:v>45</x:v>
      </x:c>
    </x:row>
    <x:row r="11" ht="36" customHeight="1">
      <x:c r="B11" s="15"/>
    </x:row>
    <x:row r="12" ht="36" customHeight="1">
      <x:c r="A12" s="17" t="s">
        <x:v>46</x:v>
      </x:c>
      <x:c r="B12" s="17" t="s">
        <x:v>47</x:v>
      </x:c>
    </x:row>
  </x:sheetData>
  <x:mergeCells>
    <x:mergeCell ref="A1:F1"/>
  </x:mergeCells>
  <x:pageMargins left="0.7" right="0.7" top="0.75" bottom="0.75" header="0.3" footer="0.3"/>
</x:worksheet>
</file>